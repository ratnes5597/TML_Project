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RSS527175\Downloads\"/>
    </mc:Choice>
  </mc:AlternateContent>
  <xr:revisionPtr revIDLastSave="0" documentId="8_{5472273C-ACDD-4B7E-B8B6-E417796CD0A7}" xr6:coauthVersionLast="47" xr6:coauthVersionMax="47" xr10:uidLastSave="{00000000-0000-0000-0000-000000000000}"/>
  <bookViews>
    <workbookView xWindow="0" yWindow="0" windowWidth="28800" windowHeight="12180" firstSheet="3" activeTab="3" xr2:uid="{00000000-000D-0000-FFFF-FFFF00000000}"/>
  </bookViews>
  <sheets>
    <sheet name="Cover" sheetId="1" r:id="rId1"/>
    <sheet name="Abbr" sheetId="2" r:id="rId2"/>
    <sheet name="Spec" sheetId="3" r:id="rId3"/>
    <sheet name="SysR" sheetId="5" r:id="rId4"/>
    <sheet name="Req"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3" l="1"/>
  <c r="D14" i="3"/>
  <c r="D13" i="3"/>
  <c r="D6" i="3"/>
  <c r="D8" i="3"/>
  <c r="D7" i="3"/>
  <c r="D25" i="3"/>
  <c r="D24" i="3"/>
  <c r="D23" i="3"/>
  <c r="D22" i="3"/>
  <c r="D21" i="3"/>
  <c r="D20" i="3"/>
  <c r="D19" i="3"/>
  <c r="D12" i="3"/>
  <c r="D11" i="3"/>
  <c r="D10" i="3"/>
  <c r="D9" i="3"/>
  <c r="D5" i="3"/>
</calcChain>
</file>

<file path=xl/sharedStrings.xml><?xml version="1.0" encoding="utf-8"?>
<sst xmlns="http://schemas.openxmlformats.org/spreadsheetml/2006/main" count="576" uniqueCount="448">
  <si>
    <t>Document Number</t>
  </si>
  <si>
    <t>Xin1_Aux1_2025-26/01</t>
  </si>
  <si>
    <t>Purpose</t>
  </si>
  <si>
    <r>
      <t xml:space="preserve">This document specifies the software requirement specification of </t>
    </r>
    <r>
      <rPr>
        <b/>
        <sz val="11"/>
        <rFont val="Aptos Narrow"/>
      </rPr>
      <t>Auxilary Inverter_1</t>
    </r>
    <r>
      <rPr>
        <sz val="11"/>
        <rFont val="Aptos Narrow"/>
      </rPr>
      <t xml:space="preserve"> used in </t>
    </r>
    <r>
      <rPr>
        <b/>
        <sz val="11"/>
        <rFont val="Aptos Narrow"/>
      </rPr>
      <t>Steering motor</t>
    </r>
    <r>
      <rPr>
        <sz val="11"/>
        <rFont val="Aptos Narrow"/>
      </rPr>
      <t xml:space="preserve"> for commercial application. The document contains the set of software requirements and interfaces for the controller development for the same. </t>
    </r>
  </si>
  <si>
    <t>Version</t>
  </si>
  <si>
    <t>V001</t>
  </si>
  <si>
    <t>Scope</t>
  </si>
  <si>
    <t>The scope of the work includes the software design and development in the digital simulation environment including the basic fault monitoring and basic fault handling.</t>
  </si>
  <si>
    <t>Created by</t>
  </si>
  <si>
    <t>Ratneswar</t>
  </si>
  <si>
    <t>Created on</t>
  </si>
  <si>
    <t>Verified by</t>
  </si>
  <si>
    <t>Verified on</t>
  </si>
  <si>
    <t>Modified by</t>
  </si>
  <si>
    <t>Modified on</t>
  </si>
  <si>
    <t>Approved by</t>
  </si>
  <si>
    <t>Approved on</t>
  </si>
  <si>
    <t>Abbreviation</t>
  </si>
  <si>
    <t>S.no</t>
  </si>
  <si>
    <t>Term</t>
  </si>
  <si>
    <t>Abbrevation</t>
  </si>
  <si>
    <t>RPM</t>
  </si>
  <si>
    <t>Revolution per minute</t>
  </si>
  <si>
    <t>d axis</t>
  </si>
  <si>
    <t>direct axis</t>
  </si>
  <si>
    <t xml:space="preserve">q axis </t>
  </si>
  <si>
    <t>qudrature axis</t>
  </si>
  <si>
    <t>DC</t>
  </si>
  <si>
    <t>Direct Current</t>
  </si>
  <si>
    <t>MCU</t>
  </si>
  <si>
    <t>Motor Control Unit</t>
  </si>
  <si>
    <t>CAN</t>
  </si>
  <si>
    <t> Controller Area Network</t>
  </si>
  <si>
    <t>VCU</t>
  </si>
  <si>
    <t>Vehicle Control Unit</t>
  </si>
  <si>
    <t>uC</t>
  </si>
  <si>
    <t>MicroController</t>
  </si>
  <si>
    <t>SPI</t>
  </si>
  <si>
    <t>Serial Peripheral Interface</t>
  </si>
  <si>
    <t>RDC</t>
  </si>
  <si>
    <t>Resolver to digital Converter</t>
  </si>
  <si>
    <t>ASW</t>
  </si>
  <si>
    <t>Application Software</t>
  </si>
  <si>
    <t>ADC</t>
  </si>
  <si>
    <t>Analog to Digital converter</t>
  </si>
  <si>
    <t>EN/En</t>
  </si>
  <si>
    <t>Enable</t>
  </si>
  <si>
    <t>Basic Specification</t>
  </si>
  <si>
    <t>Req.id</t>
  </si>
  <si>
    <t>Item</t>
  </si>
  <si>
    <t>Description</t>
  </si>
  <si>
    <t>Value</t>
  </si>
  <si>
    <t>Units</t>
  </si>
  <si>
    <t>min</t>
  </si>
  <si>
    <t>max</t>
  </si>
  <si>
    <t>Spec_1.1</t>
  </si>
  <si>
    <t>Motor type</t>
  </si>
  <si>
    <t>PMSM</t>
  </si>
  <si>
    <t>Spec_1.2</t>
  </si>
  <si>
    <t>Motor rated voltage</t>
  </si>
  <si>
    <t>V</t>
  </si>
  <si>
    <t>MCU_SW_req1.2</t>
  </si>
  <si>
    <t>Motor power continious</t>
  </si>
  <si>
    <t>KW</t>
  </si>
  <si>
    <t>MCU_SW_req1.3</t>
  </si>
  <si>
    <t>Motor power peak</t>
  </si>
  <si>
    <t>MCU_SW_req1.4</t>
  </si>
  <si>
    <t>Motor power peak time</t>
  </si>
  <si>
    <t>Sec</t>
  </si>
  <si>
    <t>MCU_SW_req1.5</t>
  </si>
  <si>
    <t>Motor rated Speed</t>
  </si>
  <si>
    <t>MCU_SW_req1.6</t>
  </si>
  <si>
    <t>Motor rated Torque</t>
  </si>
  <si>
    <t>Nm</t>
  </si>
  <si>
    <t>MCU_SW_req1.7</t>
  </si>
  <si>
    <t xml:space="preserve">Motor rated peak Torque </t>
  </si>
  <si>
    <t>Motor rated current</t>
  </si>
  <si>
    <t>A</t>
  </si>
  <si>
    <t>Motor peak current</t>
  </si>
  <si>
    <t>Rated Frequency</t>
  </si>
  <si>
    <t>Hz</t>
  </si>
  <si>
    <t>Number of pole pairs</t>
  </si>
  <si>
    <t>The motor has 4 pole pairs</t>
  </si>
  <si>
    <t>MCU_SW_req1.8</t>
  </si>
  <si>
    <t>Motor part number</t>
  </si>
  <si>
    <t>MCU_SW_req1.9</t>
  </si>
  <si>
    <t>Motor id by supplier/TML</t>
  </si>
  <si>
    <t>MCU_SW_req1.10</t>
  </si>
  <si>
    <t>Motor rated temperature</t>
  </si>
  <si>
    <t>C</t>
  </si>
  <si>
    <t>MCU_SW_req1.11</t>
  </si>
  <si>
    <t>Motor cooling</t>
  </si>
  <si>
    <t>air</t>
  </si>
  <si>
    <t>MCU_SW_req1.12</t>
  </si>
  <si>
    <t>Inverter rated power</t>
  </si>
  <si>
    <t>MCU_SW_req1.13</t>
  </si>
  <si>
    <t>Inverter rated current</t>
  </si>
  <si>
    <t>MCU_SW_req1.14</t>
  </si>
  <si>
    <t>Inverter rated voltage</t>
  </si>
  <si>
    <t>MCU_SW_req1.15</t>
  </si>
  <si>
    <t>Inverter peak current</t>
  </si>
  <si>
    <t>MCU_SW_req1.16</t>
  </si>
  <si>
    <t>Inverter peak current time</t>
  </si>
  <si>
    <t>ID</t>
  </si>
  <si>
    <t>Type</t>
  </si>
  <si>
    <t>Name</t>
  </si>
  <si>
    <t>Detail</t>
  </si>
  <si>
    <t>Aux1_SYS_001</t>
  </si>
  <si>
    <t>Functional</t>
  </si>
  <si>
    <t>Shall run Compressor motor at RPM commanded by eVCU with rated power</t>
  </si>
  <si>
    <t>Aux1_SYS_002</t>
  </si>
  <si>
    <t>Precharge</t>
  </si>
  <si>
    <t xml:space="preserve">Internal Precharge </t>
  </si>
  <si>
    <t>Aux1_SYS_003</t>
  </si>
  <si>
    <t>Motor Current sense</t>
  </si>
  <si>
    <t>System shall measure three phase current for Closed loop control</t>
  </si>
  <si>
    <t>Aux1_SYS_004</t>
  </si>
  <si>
    <t>DC Link Voltage sense</t>
  </si>
  <si>
    <t xml:space="preserve">System shall measure input DC link voltage </t>
  </si>
  <si>
    <t>Aux1_SYS_005</t>
  </si>
  <si>
    <t>Motor Temperature sense</t>
  </si>
  <si>
    <t>System shall measure motor Temperature for Torque degradation and Protection</t>
  </si>
  <si>
    <t>Aux1_SYS_006</t>
  </si>
  <si>
    <t>IGBT Module Temperature sense</t>
  </si>
  <si>
    <t>System shall measure IGBT Module Temperature for Torque degradation and Protection</t>
  </si>
  <si>
    <t>Aux1_SYS_007</t>
  </si>
  <si>
    <t>Soft start</t>
  </si>
  <si>
    <t>Speed command from eVCU will be ramped up at the defined rate</t>
  </si>
  <si>
    <t>Aux1_SYS_008</t>
  </si>
  <si>
    <t>Torque Control</t>
  </si>
  <si>
    <t>Shall Receive Torque command from eVCU and drive the Motor to deliver the Requested torque  within defined time from eVCU in Closed loop</t>
  </si>
  <si>
    <t>Steer</t>
  </si>
  <si>
    <t>Aux1_SYS_009</t>
  </si>
  <si>
    <t>Sense power supply</t>
  </si>
  <si>
    <t xml:space="preserve">Shall sense power supply of Gate Driver, current sensor, 5v and 3.3v IC </t>
  </si>
  <si>
    <t>Aux1_SYS_010</t>
  </si>
  <si>
    <t>Enable power supply</t>
  </si>
  <si>
    <t>Shall enable 5v and 3.3v power supply IC as per their requirement</t>
  </si>
  <si>
    <t>Aux1_SYS_011</t>
  </si>
  <si>
    <t>Safety</t>
  </si>
  <si>
    <t>PWM enable</t>
  </si>
  <si>
    <t>Shall enable PWM only after receiving desired value of IO signal (Ready &amp; Fault)</t>
  </si>
  <si>
    <t>Aux1_SYS_012</t>
  </si>
  <si>
    <t>Output Over Current</t>
  </si>
  <si>
    <t>Shall shutdown system if the RMS Current is greater than defined value</t>
  </si>
  <si>
    <t>Aux1_SYS_013</t>
  </si>
  <si>
    <t>Motor Overtemperature</t>
  </si>
  <si>
    <t>Shall Turn off the system if the motot temperature is beyond 157C</t>
  </si>
  <si>
    <t>Aux1_SYS_014</t>
  </si>
  <si>
    <t>Device Overtemperture</t>
  </si>
  <si>
    <t>Shall go to derate operation until 95C above which it shall shutdown the system</t>
  </si>
  <si>
    <t>Aux1_SYS_015</t>
  </si>
  <si>
    <t>Input Over Voltage</t>
  </si>
  <si>
    <t>Shall shutdown system if the input voltage is greater than rated value</t>
  </si>
  <si>
    <t>Aux1_SYS_016</t>
  </si>
  <si>
    <t>Input Under Voltage</t>
  </si>
  <si>
    <t>Shall shutdown system if the input voltage is less than defined value</t>
  </si>
  <si>
    <t>Aux1_SYS_017</t>
  </si>
  <si>
    <t>States</t>
  </si>
  <si>
    <t>Intial</t>
  </si>
  <si>
    <t>Conditions/criteria need to be checked</t>
  </si>
  <si>
    <t>Aux1_SYS_018</t>
  </si>
  <si>
    <t>Standby</t>
  </si>
  <si>
    <t>Aux1_SYS_019</t>
  </si>
  <si>
    <t>Fault</t>
  </si>
  <si>
    <t>Aux1_SYS_020</t>
  </si>
  <si>
    <t>Run</t>
  </si>
  <si>
    <t>Requirement</t>
  </si>
  <si>
    <t>I/O</t>
  </si>
  <si>
    <t>Rd/Est/Wrt</t>
  </si>
  <si>
    <t>no. of sig</t>
  </si>
  <si>
    <t>Category</t>
  </si>
  <si>
    <t>Linked Sys Requirement</t>
  </si>
  <si>
    <t>applicable</t>
  </si>
  <si>
    <t>signal</t>
  </si>
  <si>
    <t>Xin1 Project (Pin Map Chk)</t>
  </si>
  <si>
    <t>Function</t>
  </si>
  <si>
    <t>Aux1_SW_req2.1</t>
  </si>
  <si>
    <t>DC link voltage</t>
  </si>
  <si>
    <r>
      <rPr>
        <sz val="9"/>
        <color rgb="FF000000"/>
        <rFont val="Arial"/>
      </rPr>
      <t xml:space="preserve">Aux1 shall sense </t>
    </r>
    <r>
      <rPr>
        <b/>
        <sz val="9"/>
        <color rgb="FF000000"/>
        <rFont val="Arial"/>
      </rPr>
      <t xml:space="preserve">DC link capacitor voltage </t>
    </r>
    <r>
      <rPr>
        <sz val="9"/>
        <color rgb="FF000000"/>
        <rFont val="Arial"/>
      </rPr>
      <t>with an accuracy of +/-2% for safety function</t>
    </r>
  </si>
  <si>
    <t>Aux1_SW_req2.2</t>
  </si>
  <si>
    <t>phase currents</t>
  </si>
  <si>
    <r>
      <rPr>
        <sz val="9"/>
        <color rgb="FF000000"/>
        <rFont val="Arial"/>
      </rPr>
      <t xml:space="preserve">Aux1 shall sense all three </t>
    </r>
    <r>
      <rPr>
        <b/>
        <sz val="9"/>
        <color rgb="FF000000"/>
        <rFont val="Arial"/>
      </rPr>
      <t>phase current</t>
    </r>
    <r>
      <rPr>
        <sz val="9"/>
        <color rgb="FF000000"/>
        <rFont val="Arial"/>
      </rPr>
      <t xml:space="preserve"> with an accuracy of +/-2% for control function</t>
    </r>
  </si>
  <si>
    <t>I</t>
  </si>
  <si>
    <t>Rd</t>
  </si>
  <si>
    <t>Aux1_SW_req2.3</t>
  </si>
  <si>
    <r>
      <rPr>
        <sz val="9"/>
        <color rgb="FF000000"/>
        <rFont val="Arial"/>
      </rPr>
      <t xml:space="preserve">Aux1 shall convert physical value of phase current into </t>
    </r>
    <r>
      <rPr>
        <b/>
        <sz val="9"/>
        <color rgb="FF000000"/>
        <rFont val="Arial"/>
      </rPr>
      <t>RMS</t>
    </r>
    <r>
      <rPr>
        <sz val="9"/>
        <color rgb="FF000000"/>
        <rFont val="Arial"/>
      </rPr>
      <t xml:space="preserve"> value with an accuracy of +/-2% for Diagnotics function</t>
    </r>
  </si>
  <si>
    <t>Aux1_SW_req2.4</t>
  </si>
  <si>
    <t>IGBT module temp</t>
  </si>
  <si>
    <r>
      <rPr>
        <sz val="9"/>
        <color rgb="FF000000"/>
        <rFont val="Arial"/>
      </rPr>
      <t xml:space="preserve">Aux1 shall sense </t>
    </r>
    <r>
      <rPr>
        <b/>
        <sz val="9"/>
        <color rgb="FF000000"/>
        <rFont val="Arial"/>
      </rPr>
      <t>IGBT Module Temeprature</t>
    </r>
    <r>
      <rPr>
        <sz val="9"/>
        <color rgb="FF000000"/>
        <rFont val="Arial"/>
      </rPr>
      <t xml:space="preserve"> with an accuracy of +/-5% for control and safety function</t>
    </r>
  </si>
  <si>
    <t>Aux1_SW_req2.5</t>
  </si>
  <si>
    <t>Motor temp</t>
  </si>
  <si>
    <r>
      <rPr>
        <sz val="9"/>
        <color rgb="FF000000"/>
        <rFont val="Arial"/>
      </rPr>
      <t xml:space="preserve">Aux1 shall sense </t>
    </r>
    <r>
      <rPr>
        <b/>
        <sz val="9"/>
        <color rgb="FF000000"/>
        <rFont val="Arial"/>
      </rPr>
      <t>Motor Temeprature</t>
    </r>
    <r>
      <rPr>
        <sz val="9"/>
        <color rgb="FF000000"/>
        <rFont val="Arial"/>
      </rPr>
      <t xml:space="preserve"> value with an accuracy of +/-2% for control and safety function</t>
    </r>
  </si>
  <si>
    <t>Aux1_SW_req2.6</t>
  </si>
  <si>
    <t>HW fault</t>
  </si>
  <si>
    <r>
      <rPr>
        <sz val="9"/>
        <color rgb="FF000000"/>
        <rFont val="Arial"/>
      </rPr>
      <t xml:space="preserve">Aux1 shall sense </t>
    </r>
    <r>
      <rPr>
        <b/>
        <sz val="9"/>
        <color rgb="FF000000"/>
        <rFont val="Arial"/>
      </rPr>
      <t>hardware fault signal</t>
    </r>
    <r>
      <rPr>
        <sz val="9"/>
        <color rgb="FF000000"/>
        <rFont val="Arial"/>
      </rPr>
      <t xml:space="preserve"> with a latency of control time for safety function</t>
    </r>
  </si>
  <si>
    <t>Aux1_SW_req2.7</t>
  </si>
  <si>
    <t>Ready IO</t>
  </si>
  <si>
    <r>
      <rPr>
        <sz val="9"/>
        <color rgb="FF000000"/>
        <rFont val="Arial"/>
      </rPr>
      <t xml:space="preserve">Aux1 shall sense </t>
    </r>
    <r>
      <rPr>
        <b/>
        <sz val="9"/>
        <color rgb="FF000000"/>
        <rFont val="Arial"/>
      </rPr>
      <t>Ready signal</t>
    </r>
    <r>
      <rPr>
        <sz val="9"/>
        <color rgb="FF000000"/>
        <rFont val="Arial"/>
      </rPr>
      <t xml:space="preserve"> with a latency of control time for safety function</t>
    </r>
  </si>
  <si>
    <t>Aux1_SW_req2.8</t>
  </si>
  <si>
    <t>Enable/disable command</t>
  </si>
  <si>
    <r>
      <rPr>
        <sz val="9"/>
        <color rgb="FF000000"/>
        <rFont val="Arial"/>
      </rPr>
      <t xml:space="preserve">Aux1 shall sense </t>
    </r>
    <r>
      <rPr>
        <b/>
        <sz val="9"/>
        <color rgb="FF000000"/>
        <rFont val="Arial"/>
      </rPr>
      <t>Enable/Disable Command</t>
    </r>
    <r>
      <rPr>
        <sz val="9"/>
        <color rgb="FF000000"/>
        <rFont val="Arial"/>
      </rPr>
      <t xml:space="preserve">  from eVCU through CAN with a latency of +/2%</t>
    </r>
  </si>
  <si>
    <t>Aux1_SW_req2.9</t>
  </si>
  <si>
    <t>Ref Torque command</t>
  </si>
  <si>
    <r>
      <rPr>
        <sz val="9"/>
        <color rgb="FF000000"/>
        <rFont val="Arial"/>
      </rPr>
      <t xml:space="preserve">Aux1 shall sense   </t>
    </r>
    <r>
      <rPr>
        <b/>
        <sz val="9"/>
        <color rgb="FF000000"/>
        <rFont val="Arial"/>
      </rPr>
      <t>Torque Command</t>
    </r>
    <r>
      <rPr>
        <sz val="9"/>
        <color rgb="FF000000"/>
        <rFont val="Arial"/>
      </rPr>
      <t xml:space="preserve"> from eVCU through CAN with a latency of +/2%</t>
    </r>
  </si>
  <si>
    <t>Aux1_SW_req2.10</t>
  </si>
  <si>
    <r>
      <rPr>
        <sz val="9"/>
        <color rgb="FF000000"/>
        <rFont val="Arial"/>
      </rPr>
      <t xml:space="preserve">Aux1 shall  </t>
    </r>
    <r>
      <rPr>
        <b/>
        <sz val="9"/>
        <color rgb="FF000000"/>
        <rFont val="Arial"/>
      </rPr>
      <t>ramp-up/ramp-down torque command</t>
    </r>
    <r>
      <rPr>
        <sz val="9"/>
        <color rgb="FF000000"/>
        <rFont val="Arial"/>
      </rPr>
      <t xml:space="preserve"> at defined rate with a latency of +/- 2%</t>
    </r>
  </si>
  <si>
    <t>Aux1_SW_req2.11</t>
  </si>
  <si>
    <r>
      <rPr>
        <sz val="9"/>
        <color rgb="FF000000"/>
        <rFont val="Arial"/>
      </rPr>
      <t xml:space="preserve">Aux1 shall execute </t>
    </r>
    <r>
      <rPr>
        <b/>
        <sz val="9"/>
        <color rgb="FF000000"/>
        <rFont val="Arial"/>
      </rPr>
      <t>current control loop</t>
    </r>
    <r>
      <rPr>
        <sz val="9"/>
        <color rgb="FF000000"/>
        <rFont val="Arial"/>
      </rPr>
      <t xml:space="preserve"> within Y us</t>
    </r>
  </si>
  <si>
    <t>Aux1_SW_req2.12</t>
  </si>
  <si>
    <r>
      <rPr>
        <sz val="9"/>
        <color rgb="FF000000"/>
        <rFont val="Arial"/>
      </rPr>
      <t xml:space="preserve">Aux1 shall  </t>
    </r>
    <r>
      <rPr>
        <b/>
        <sz val="9"/>
        <color rgb="FF000000"/>
        <rFont val="Arial"/>
      </rPr>
      <t>estimate d-q current</t>
    </r>
    <r>
      <rPr>
        <sz val="9"/>
        <color rgb="FF000000"/>
        <rFont val="Arial"/>
      </rPr>
      <t xml:space="preserve"> with an accuracy of +/2%</t>
    </r>
  </si>
  <si>
    <t>Aux1_SW_req2.13</t>
  </si>
  <si>
    <r>
      <rPr>
        <sz val="9"/>
        <color rgb="FF000000"/>
        <rFont val="Arial"/>
      </rPr>
      <t xml:space="preserve">Aux1 shall execute </t>
    </r>
    <r>
      <rPr>
        <b/>
        <sz val="9"/>
        <color rgb="FF000000"/>
        <rFont val="Arial"/>
      </rPr>
      <t>torque control loop</t>
    </r>
    <r>
      <rPr>
        <sz val="9"/>
        <color rgb="FF000000"/>
        <rFont val="Arial"/>
      </rPr>
      <t xml:space="preserve"> within Z us</t>
    </r>
  </si>
  <si>
    <t>Aux1_SW_req2.14</t>
  </si>
  <si>
    <r>
      <rPr>
        <sz val="9"/>
        <color rgb="FF000000"/>
        <rFont val="Arial"/>
      </rPr>
      <t xml:space="preserve">Aux1 shall  </t>
    </r>
    <r>
      <rPr>
        <b/>
        <sz val="9"/>
        <color rgb="FF000000"/>
        <rFont val="Arial"/>
      </rPr>
      <t>estimate duty ratio</t>
    </r>
    <r>
      <rPr>
        <sz val="9"/>
        <color rgb="FF000000"/>
        <rFont val="Arial"/>
      </rPr>
      <t xml:space="preserve"> of PWM given to switching devices, having operating frequency of 5-10KHz, with an accuracy of +/-2%</t>
    </r>
  </si>
  <si>
    <t>Aux1_SW_req2.15</t>
  </si>
  <si>
    <r>
      <rPr>
        <sz val="9"/>
        <color rgb="FF000000"/>
        <rFont val="Arial"/>
      </rPr>
      <t xml:space="preserve">Aux1 shall support SVPWM with defined </t>
    </r>
    <r>
      <rPr>
        <b/>
        <sz val="9"/>
        <color rgb="FF000000"/>
        <rFont val="Arial"/>
      </rPr>
      <t>deadtime control</t>
    </r>
    <r>
      <rPr>
        <sz val="9"/>
        <color rgb="FF000000"/>
        <rFont val="Arial"/>
      </rPr>
      <t xml:space="preserve"> with a latency of +/-2%</t>
    </r>
  </si>
  <si>
    <t>Aux1_SW_req2.16</t>
  </si>
  <si>
    <r>
      <rPr>
        <sz val="9"/>
        <color rgb="FF000000"/>
        <rFont val="Arial"/>
      </rPr>
      <t xml:space="preserve">Aux1 shall maintain </t>
    </r>
    <r>
      <rPr>
        <b/>
        <sz val="9"/>
        <color rgb="FF000000"/>
        <rFont val="Arial"/>
      </rPr>
      <t>torque ripple</t>
    </r>
    <r>
      <rPr>
        <sz val="9"/>
        <color rgb="FF000000"/>
        <rFont val="Arial"/>
      </rPr>
      <t xml:space="preserve"> within +/-2%</t>
    </r>
  </si>
  <si>
    <t>Performance</t>
  </si>
  <si>
    <t>Aux1_SW_req2.17</t>
  </si>
  <si>
    <r>
      <rPr>
        <sz val="9"/>
        <color rgb="FF000000"/>
        <rFont val="Arial"/>
      </rPr>
      <t xml:space="preserve">Aux1 shall sense </t>
    </r>
    <r>
      <rPr>
        <b/>
        <sz val="9"/>
        <color rgb="FF000000"/>
        <rFont val="Arial"/>
      </rPr>
      <t>Gate Driver power supply</t>
    </r>
    <r>
      <rPr>
        <sz val="9"/>
        <color rgb="FF000000"/>
        <rFont val="Arial"/>
      </rPr>
      <t xml:space="preserve"> with an accuracy of +/-2%</t>
    </r>
  </si>
  <si>
    <t>Aux1_SW_req2.18</t>
  </si>
  <si>
    <r>
      <rPr>
        <sz val="9"/>
        <color rgb="FF000000"/>
        <rFont val="Arial"/>
      </rPr>
      <t xml:space="preserve">Aux1 shall sense </t>
    </r>
    <r>
      <rPr>
        <b/>
        <sz val="9"/>
        <color rgb="FF000000"/>
        <rFont val="Arial"/>
      </rPr>
      <t>Current sensor power supply</t>
    </r>
    <r>
      <rPr>
        <sz val="9"/>
        <color rgb="FF000000"/>
        <rFont val="Arial"/>
      </rPr>
      <t xml:space="preserve"> with an accuracy of +/-2%</t>
    </r>
  </si>
  <si>
    <t>Aux1_SW_req2.19</t>
  </si>
  <si>
    <r>
      <rPr>
        <sz val="9"/>
        <color rgb="FF000000"/>
        <rFont val="Arial"/>
      </rPr>
      <t xml:space="preserve">Aux1 shall </t>
    </r>
    <r>
      <rPr>
        <b/>
        <sz val="9"/>
        <color rgb="FF000000"/>
        <rFont val="Arial"/>
      </rPr>
      <t>enable 5v power supply</t>
    </r>
    <r>
      <rPr>
        <sz val="9"/>
        <color rgb="FF000000"/>
        <rFont val="Arial"/>
      </rPr>
      <t xml:space="preserve"> as per requirement</t>
    </r>
  </si>
  <si>
    <t>Aux1_SW_req2.20</t>
  </si>
  <si>
    <r>
      <rPr>
        <sz val="9"/>
        <color rgb="FF000000"/>
        <rFont val="Arial"/>
      </rPr>
      <t xml:space="preserve">Aux1 shall </t>
    </r>
    <r>
      <rPr>
        <b/>
        <sz val="9"/>
        <color rgb="FF000000"/>
        <rFont val="Arial"/>
      </rPr>
      <t>enable 3.3v power supply</t>
    </r>
    <r>
      <rPr>
        <sz val="9"/>
        <color rgb="FF000000"/>
        <rFont val="Arial"/>
      </rPr>
      <t xml:space="preserve">  as per requirement</t>
    </r>
  </si>
  <si>
    <t>Aux1_SW_req2.21</t>
  </si>
  <si>
    <r>
      <rPr>
        <sz val="9"/>
        <color rgb="FF000000"/>
        <rFont val="Arial"/>
      </rPr>
      <t xml:space="preserve">Aux1 shall </t>
    </r>
    <r>
      <rPr>
        <b/>
        <sz val="9"/>
        <color rgb="FF000000"/>
        <rFont val="Arial"/>
      </rPr>
      <t>sense 5v power supply</t>
    </r>
    <r>
      <rPr>
        <sz val="9"/>
        <color rgb="FF000000"/>
        <rFont val="Arial"/>
      </rPr>
      <t xml:space="preserve"> with an accuracy of +/-2%</t>
    </r>
  </si>
  <si>
    <t>Aux1_SW_req2.22</t>
  </si>
  <si>
    <r>
      <rPr>
        <sz val="9"/>
        <color rgb="FF000000"/>
        <rFont val="Arial"/>
      </rPr>
      <t xml:space="preserve">Aux1 shall </t>
    </r>
    <r>
      <rPr>
        <b/>
        <sz val="9"/>
        <color rgb="FF000000"/>
        <rFont val="Arial"/>
      </rPr>
      <t>sense 3.3v power supply</t>
    </r>
    <r>
      <rPr>
        <sz val="9"/>
        <color rgb="FF000000"/>
        <rFont val="Arial"/>
      </rPr>
      <t xml:space="preserve"> with an accuracy of +/-2%</t>
    </r>
  </si>
  <si>
    <t>Aux1_SW_req2.23</t>
  </si>
  <si>
    <t>Enable PWM</t>
  </si>
  <si>
    <r>
      <rPr>
        <sz val="11"/>
        <color theme="1"/>
        <rFont val="Calibri"/>
        <family val="2"/>
        <scheme val="minor"/>
      </rPr>
      <t xml:space="preserve">Aux1 shall enable PWM only if </t>
    </r>
    <r>
      <rPr>
        <b/>
        <sz val="11"/>
        <color theme="1"/>
        <rFont val="Calibri"/>
        <family val="2"/>
        <scheme val="minor"/>
      </rPr>
      <t>Ready signal is high</t>
    </r>
  </si>
  <si>
    <t>Aux1_SW_req2.24</t>
  </si>
  <si>
    <r>
      <rPr>
        <sz val="11"/>
        <color theme="1"/>
        <rFont val="Calibri"/>
        <family val="2"/>
        <scheme val="minor"/>
      </rPr>
      <t xml:space="preserve">Aux1 shall enable PWM only if </t>
    </r>
    <r>
      <rPr>
        <b/>
        <sz val="11"/>
        <color theme="1"/>
        <rFont val="Calibri"/>
        <family val="2"/>
        <scheme val="minor"/>
      </rPr>
      <t>Fault signal is low</t>
    </r>
  </si>
  <si>
    <t>Aux1_SW_req2.25</t>
  </si>
  <si>
    <t>Disable PWM</t>
  </si>
  <si>
    <r>
      <rPr>
        <sz val="11"/>
        <color theme="1"/>
        <rFont val="Calibri"/>
        <family val="2"/>
        <scheme val="minor"/>
      </rPr>
      <t xml:space="preserve">Aux1 shall  </t>
    </r>
    <r>
      <rPr>
        <b/>
        <sz val="11"/>
        <color theme="1"/>
        <rFont val="Calibri"/>
        <family val="2"/>
        <scheme val="minor"/>
      </rPr>
      <t>disable PWM</t>
    </r>
    <r>
      <rPr>
        <sz val="11"/>
        <color theme="1"/>
        <rFont val="Calibri"/>
        <family val="2"/>
        <scheme val="minor"/>
      </rPr>
      <t>, when RMS value of phase current exceeds that of defined threshold value, within X us</t>
    </r>
  </si>
  <si>
    <t>O</t>
  </si>
  <si>
    <t>D</t>
  </si>
  <si>
    <t>Aux1_SW_req2.26</t>
  </si>
  <si>
    <r>
      <rPr>
        <sz val="11"/>
        <color theme="1"/>
        <rFont val="Calibri"/>
        <family val="2"/>
        <scheme val="minor"/>
      </rPr>
      <t xml:space="preserve">Aux1 shall  </t>
    </r>
    <r>
      <rPr>
        <b/>
        <sz val="11"/>
        <color theme="1"/>
        <rFont val="Calibri"/>
        <family val="2"/>
        <scheme val="minor"/>
      </rPr>
      <t>disable PWM</t>
    </r>
    <r>
      <rPr>
        <sz val="11"/>
        <color theme="1"/>
        <rFont val="Calibri"/>
        <family val="2"/>
        <scheme val="minor"/>
      </rPr>
      <t>, when input voltage exceeds maximum defined threshold value, within X us</t>
    </r>
  </si>
  <si>
    <t>Aux1_SW_req2.27</t>
  </si>
  <si>
    <r>
      <rPr>
        <sz val="11"/>
        <color theme="1"/>
        <rFont val="Calibri"/>
        <family val="2"/>
        <scheme val="minor"/>
      </rPr>
      <t xml:space="preserve">Aux1 shall  </t>
    </r>
    <r>
      <rPr>
        <b/>
        <sz val="11"/>
        <color theme="1"/>
        <rFont val="Calibri"/>
        <family val="2"/>
        <scheme val="minor"/>
      </rPr>
      <t>disable PWM</t>
    </r>
    <r>
      <rPr>
        <sz val="11"/>
        <color theme="1"/>
        <rFont val="Calibri"/>
        <family val="2"/>
        <scheme val="minor"/>
      </rPr>
      <t>, when input voltage is less than minimum defined threshold value, within X us</t>
    </r>
  </si>
  <si>
    <t>Aux1_SW_req2.28</t>
  </si>
  <si>
    <r>
      <rPr>
        <sz val="11"/>
        <color theme="1"/>
        <rFont val="Calibri"/>
        <family val="2"/>
        <scheme val="minor"/>
      </rPr>
      <t xml:space="preserve">Aux1 shall  </t>
    </r>
    <r>
      <rPr>
        <b/>
        <sz val="11"/>
        <color theme="1"/>
        <rFont val="Calibri"/>
        <family val="2"/>
        <scheme val="minor"/>
      </rPr>
      <t>disable PWM</t>
    </r>
    <r>
      <rPr>
        <sz val="11"/>
        <color theme="1"/>
        <rFont val="Calibri"/>
        <family val="2"/>
        <scheme val="minor"/>
      </rPr>
      <t>, when motor tempertaure exceeds the defined threshold value of 157 degC, within 10 ms</t>
    </r>
  </si>
  <si>
    <t>Aux1_SW_req2.29</t>
  </si>
  <si>
    <r>
      <rPr>
        <sz val="11"/>
        <color theme="1"/>
        <rFont val="Calibri"/>
        <family val="2"/>
        <scheme val="minor"/>
      </rPr>
      <t xml:space="preserve">Aux1 shall perform  </t>
    </r>
    <r>
      <rPr>
        <b/>
        <sz val="11"/>
        <color theme="1"/>
        <rFont val="Calibri"/>
        <family val="2"/>
        <scheme val="minor"/>
      </rPr>
      <t>derate</t>
    </r>
    <r>
      <rPr>
        <sz val="11"/>
        <color theme="1"/>
        <rFont val="Calibri"/>
        <family val="2"/>
        <scheme val="minor"/>
      </rPr>
      <t xml:space="preserve"> operation, when device temperture exceeds 75 degC, within 10 ms</t>
    </r>
  </si>
  <si>
    <t>Aux1_SW_req2.30</t>
  </si>
  <si>
    <r>
      <rPr>
        <sz val="11"/>
        <color theme="1"/>
        <rFont val="Calibri"/>
        <family val="2"/>
        <scheme val="minor"/>
      </rPr>
      <t xml:space="preserve">Aux1 shall  </t>
    </r>
    <r>
      <rPr>
        <b/>
        <sz val="11"/>
        <color theme="1"/>
        <rFont val="Calibri"/>
        <family val="2"/>
        <scheme val="minor"/>
      </rPr>
      <t>disable PWM</t>
    </r>
    <r>
      <rPr>
        <sz val="11"/>
        <color theme="1"/>
        <rFont val="Calibri"/>
        <family val="2"/>
        <scheme val="minor"/>
      </rPr>
      <t>, when device tempertaure reaches 95 degC, within 10 ms</t>
    </r>
  </si>
  <si>
    <t>Aux1_SW_req2.31</t>
  </si>
  <si>
    <r>
      <rPr>
        <sz val="11"/>
        <color theme="1"/>
        <rFont val="Calibri"/>
        <family val="2"/>
        <scheme val="minor"/>
      </rPr>
      <t xml:space="preserve">Aux1 shall  </t>
    </r>
    <r>
      <rPr>
        <b/>
        <sz val="11"/>
        <color theme="1"/>
        <rFont val="Calibri"/>
        <family val="2"/>
        <scheme val="minor"/>
      </rPr>
      <t>disable PWM</t>
    </r>
    <r>
      <rPr>
        <sz val="11"/>
        <color theme="1"/>
        <rFont val="Calibri"/>
        <family val="2"/>
        <scheme val="minor"/>
      </rPr>
      <t>, when hardware fault signal is high, within X us</t>
    </r>
  </si>
  <si>
    <t>Aux1_SW_req2.32</t>
  </si>
  <si>
    <t>Initial state</t>
  </si>
  <si>
    <r>
      <rPr>
        <sz val="11"/>
        <color theme="1"/>
        <rFont val="Calibri"/>
        <family val="2"/>
        <scheme val="minor"/>
      </rPr>
      <t xml:space="preserve">Aux1 shall enter  </t>
    </r>
    <r>
      <rPr>
        <b/>
        <sz val="11"/>
        <color theme="1"/>
        <rFont val="Calibri"/>
        <family val="2"/>
        <scheme val="minor"/>
      </rPr>
      <t>Initial state</t>
    </r>
    <r>
      <rPr>
        <sz val="11"/>
        <color theme="1"/>
        <rFont val="Calibri"/>
        <family val="2"/>
        <scheme val="minor"/>
      </rPr>
      <t>, as per defined criteria in stateflow, within X us</t>
    </r>
  </si>
  <si>
    <t>Aux1_SW_req2.33</t>
  </si>
  <si>
    <t>Standby state</t>
  </si>
  <si>
    <r>
      <rPr>
        <sz val="11"/>
        <color theme="1"/>
        <rFont val="Calibri"/>
        <family val="2"/>
        <scheme val="minor"/>
      </rPr>
      <t xml:space="preserve">Aux1 shall enter  </t>
    </r>
    <r>
      <rPr>
        <b/>
        <sz val="11"/>
        <color theme="1"/>
        <rFont val="Calibri"/>
        <family val="2"/>
        <scheme val="minor"/>
      </rPr>
      <t>Standby state</t>
    </r>
    <r>
      <rPr>
        <sz val="11"/>
        <color theme="1"/>
        <rFont val="Calibri"/>
        <family val="2"/>
        <scheme val="minor"/>
      </rPr>
      <t>, as per defined criteria in stateflow, within X us</t>
    </r>
  </si>
  <si>
    <t>Wrt</t>
  </si>
  <si>
    <t>Aux1_SW_req2.34</t>
  </si>
  <si>
    <t>Fault state</t>
  </si>
  <si>
    <r>
      <rPr>
        <sz val="11"/>
        <color theme="1"/>
        <rFont val="Calibri"/>
        <family val="2"/>
        <scheme val="minor"/>
      </rPr>
      <t xml:space="preserve">Aux1 shall enter  </t>
    </r>
    <r>
      <rPr>
        <b/>
        <sz val="11"/>
        <color theme="1"/>
        <rFont val="Calibri"/>
        <family val="2"/>
        <scheme val="minor"/>
      </rPr>
      <t>Fault state</t>
    </r>
    <r>
      <rPr>
        <sz val="11"/>
        <color theme="1"/>
        <rFont val="Calibri"/>
        <family val="2"/>
        <scheme val="minor"/>
      </rPr>
      <t>, as per defined criteria in stateflow, within X us</t>
    </r>
  </si>
  <si>
    <t>Aux1_SW_req2.35</t>
  </si>
  <si>
    <t>Run state</t>
  </si>
  <si>
    <r>
      <rPr>
        <sz val="11"/>
        <color theme="1"/>
        <rFont val="Calibri"/>
        <family val="2"/>
        <scheme val="minor"/>
      </rPr>
      <t xml:space="preserve">Aux1 shall enter  </t>
    </r>
    <r>
      <rPr>
        <b/>
        <sz val="11"/>
        <color theme="1"/>
        <rFont val="Calibri"/>
        <family val="2"/>
        <scheme val="minor"/>
      </rPr>
      <t>Run state</t>
    </r>
    <r>
      <rPr>
        <sz val="11"/>
        <color theme="1"/>
        <rFont val="Calibri"/>
        <family val="2"/>
        <scheme val="minor"/>
      </rPr>
      <t>, as per defined criteria in stateflow, within X us</t>
    </r>
  </si>
  <si>
    <t>Aux1_SW_req2.36</t>
  </si>
  <si>
    <t>ADC Channels</t>
  </si>
  <si>
    <r>
      <rPr>
        <sz val="11"/>
        <color theme="1"/>
        <rFont val="Calibri"/>
        <family val="2"/>
        <scheme val="minor"/>
      </rPr>
      <t xml:space="preserve">Aux1 shall sense voltages, current and temperature using  </t>
    </r>
    <r>
      <rPr>
        <b/>
        <sz val="11"/>
        <color theme="1"/>
        <rFont val="Calibri"/>
        <family val="2"/>
        <scheme val="minor"/>
      </rPr>
      <t>ADC</t>
    </r>
    <r>
      <rPr>
        <sz val="11"/>
        <color theme="1"/>
        <rFont val="Calibri"/>
        <family val="2"/>
        <scheme val="minor"/>
      </rPr>
      <t xml:space="preserve"> channels</t>
    </r>
  </si>
  <si>
    <t>Interface</t>
  </si>
  <si>
    <t>Aux1_SW_req2.37</t>
  </si>
  <si>
    <t>PWM Outputs</t>
  </si>
  <si>
    <r>
      <rPr>
        <sz val="11"/>
        <color theme="1"/>
        <rFont val="Calibri"/>
        <family val="2"/>
        <scheme val="minor"/>
      </rPr>
      <t xml:space="preserve">Aux1 shall control the  </t>
    </r>
    <r>
      <rPr>
        <b/>
        <sz val="11"/>
        <color theme="1"/>
        <rFont val="Calibri"/>
        <family val="2"/>
        <scheme val="minor"/>
      </rPr>
      <t>PWMs</t>
    </r>
  </si>
  <si>
    <t>Aux1_SW_req2.38</t>
  </si>
  <si>
    <t>GPIO</t>
  </si>
  <si>
    <r>
      <rPr>
        <sz val="11"/>
        <color theme="1"/>
        <rFont val="Calibri"/>
        <family val="2"/>
        <scheme val="minor"/>
      </rPr>
      <t xml:space="preserve">Aux1 shall use the  </t>
    </r>
    <r>
      <rPr>
        <b/>
        <sz val="11"/>
        <color theme="1"/>
        <rFont val="Calibri"/>
        <family val="2"/>
        <scheme val="minor"/>
      </rPr>
      <t>GPIOs</t>
    </r>
    <r>
      <rPr>
        <sz val="11"/>
        <color theme="1"/>
        <rFont val="Calibri"/>
        <family val="2"/>
        <scheme val="minor"/>
      </rPr>
      <t xml:space="preserve"> for fault signals or enable/disable controls.</t>
    </r>
  </si>
  <si>
    <t>Aux1_SW_req2.39</t>
  </si>
  <si>
    <t>CAN Comm</t>
  </si>
  <si>
    <r>
      <rPr>
        <sz val="9"/>
        <color rgb="FF000000"/>
        <rFont val="Arial"/>
      </rPr>
      <t xml:space="preserve">Aux1 shall communicate with eVCU via </t>
    </r>
    <r>
      <rPr>
        <b/>
        <sz val="9"/>
        <color rgb="FF000000"/>
        <rFont val="Arial"/>
      </rPr>
      <t>CAN</t>
    </r>
    <r>
      <rPr>
        <sz val="9"/>
        <color rgb="FF000000"/>
        <rFont val="Arial"/>
      </rPr>
      <t xml:space="preserve"> interface.</t>
    </r>
  </si>
  <si>
    <t>Aux1_SW_req2.40</t>
  </si>
  <si>
    <r>
      <rPr>
        <sz val="9"/>
        <color rgb="FF000000"/>
        <rFont val="Arial"/>
      </rPr>
      <t xml:space="preserve">Aux1 shall diagnose  </t>
    </r>
    <r>
      <rPr>
        <b/>
        <sz val="9"/>
        <color rgb="FF000000"/>
        <rFont val="Arial"/>
      </rPr>
      <t>reference Id</t>
    </r>
  </si>
  <si>
    <t>Diagnostics</t>
  </si>
  <si>
    <t>Aux1_SW_req2.41</t>
  </si>
  <si>
    <r>
      <rPr>
        <sz val="9"/>
        <color rgb="FF000000"/>
        <rFont val="Arial"/>
      </rPr>
      <t xml:space="preserve">Aux1 shall diagnose  </t>
    </r>
    <r>
      <rPr>
        <b/>
        <sz val="9"/>
        <color rgb="FF000000"/>
        <rFont val="Arial"/>
      </rPr>
      <t>actual Id</t>
    </r>
  </si>
  <si>
    <t>Aux1_SW_req2.42</t>
  </si>
  <si>
    <r>
      <rPr>
        <sz val="9"/>
        <color rgb="FF000000"/>
        <rFont val="Arial"/>
      </rPr>
      <t xml:space="preserve">Aux1 shall diagnose  </t>
    </r>
    <r>
      <rPr>
        <b/>
        <sz val="9"/>
        <color rgb="FF000000"/>
        <rFont val="Arial"/>
      </rPr>
      <t>reference Iq</t>
    </r>
  </si>
  <si>
    <t>Aux1_SW_req2.43</t>
  </si>
  <si>
    <r>
      <rPr>
        <sz val="9"/>
        <color rgb="FF000000"/>
        <rFont val="Arial"/>
      </rPr>
      <t xml:space="preserve">Aux1 shall diagnose  </t>
    </r>
    <r>
      <rPr>
        <b/>
        <sz val="9"/>
        <color rgb="FF000000"/>
        <rFont val="Arial"/>
      </rPr>
      <t>actual Iq</t>
    </r>
  </si>
  <si>
    <t>Aux1_SW_req2.44</t>
  </si>
  <si>
    <r>
      <rPr>
        <sz val="9"/>
        <color rgb="FF000000"/>
        <rFont val="Arial"/>
      </rPr>
      <t xml:space="preserve">Aux1 shall diagnose  </t>
    </r>
    <r>
      <rPr>
        <b/>
        <sz val="9"/>
        <color rgb="FF000000"/>
        <rFont val="Arial"/>
      </rPr>
      <t>maximum Flux</t>
    </r>
  </si>
  <si>
    <t>Aux1_SW_req2.45</t>
  </si>
  <si>
    <r>
      <rPr>
        <sz val="9"/>
        <color rgb="FF000000"/>
        <rFont val="Arial"/>
      </rPr>
      <t xml:space="preserve">Aux1 shall diagnose  </t>
    </r>
    <r>
      <rPr>
        <b/>
        <sz val="9"/>
        <color rgb="FF000000"/>
        <rFont val="Arial"/>
      </rPr>
      <t>Torque feedback</t>
    </r>
  </si>
  <si>
    <t>Aux1_SW_req2.46</t>
  </si>
  <si>
    <r>
      <rPr>
        <sz val="9"/>
        <color rgb="FF000000"/>
        <rFont val="Arial"/>
      </rPr>
      <t xml:space="preserve">Aux1 shall diagnose  </t>
    </r>
    <r>
      <rPr>
        <b/>
        <sz val="9"/>
        <color rgb="FF000000"/>
        <rFont val="Arial"/>
      </rPr>
      <t>motor temperature</t>
    </r>
    <r>
      <rPr>
        <sz val="9"/>
        <color rgb="FF000000"/>
        <rFont val="Arial"/>
      </rPr>
      <t xml:space="preserve"> feedback</t>
    </r>
  </si>
  <si>
    <t>Aux1_SW_req2.47</t>
  </si>
  <si>
    <r>
      <rPr>
        <sz val="9"/>
        <color rgb="FF000000"/>
        <rFont val="Arial"/>
      </rPr>
      <t xml:space="preserve">Aux1 shall diagnose  </t>
    </r>
    <r>
      <rPr>
        <b/>
        <sz val="9"/>
        <color rgb="FF000000"/>
        <rFont val="Arial"/>
      </rPr>
      <t>IGBT module temperature</t>
    </r>
    <r>
      <rPr>
        <sz val="9"/>
        <color rgb="FF000000"/>
        <rFont val="Arial"/>
      </rPr>
      <t xml:space="preserve"> feedback</t>
    </r>
  </si>
  <si>
    <t>Aux1_SW_req2.48</t>
  </si>
  <si>
    <r>
      <rPr>
        <sz val="9"/>
        <color rgb="FF000000"/>
        <rFont val="Arial"/>
      </rPr>
      <t xml:space="preserve">Aux1 shall diagnose  </t>
    </r>
    <r>
      <rPr>
        <b/>
        <sz val="9"/>
        <color rgb="FF000000"/>
        <rFont val="Arial"/>
      </rPr>
      <t>DC link voltage</t>
    </r>
    <r>
      <rPr>
        <sz val="9"/>
        <color rgb="FF000000"/>
        <rFont val="Arial"/>
      </rPr>
      <t xml:space="preserve"> feedback</t>
    </r>
  </si>
  <si>
    <t>Aux1_SW_req2.49</t>
  </si>
  <si>
    <r>
      <rPr>
        <sz val="9"/>
        <color rgb="FF000000"/>
        <rFont val="Arial"/>
      </rPr>
      <t xml:space="preserve">Aux1 shall diagnose  </t>
    </r>
    <r>
      <rPr>
        <b/>
        <sz val="9"/>
        <color rgb="FF000000"/>
        <rFont val="Arial"/>
      </rPr>
      <t>Fault</t>
    </r>
    <r>
      <rPr>
        <sz val="9"/>
        <color rgb="FF000000"/>
        <rFont val="Arial"/>
      </rPr>
      <t xml:space="preserve"> status</t>
    </r>
  </si>
  <si>
    <t>Aux1_SW_req2.50</t>
  </si>
  <si>
    <r>
      <rPr>
        <sz val="9"/>
        <color rgb="FF000000"/>
        <rFont val="Arial"/>
      </rPr>
      <t xml:space="preserve">Aux1 shall diagnose  </t>
    </r>
    <r>
      <rPr>
        <b/>
        <sz val="9"/>
        <color rgb="FF000000"/>
        <rFont val="Arial"/>
      </rPr>
      <t>Inverter</t>
    </r>
    <r>
      <rPr>
        <sz val="9"/>
        <color rgb="FF000000"/>
        <rFont val="Arial"/>
      </rPr>
      <t xml:space="preserve"> status</t>
    </r>
  </si>
  <si>
    <t>Aux1_SW_req2.51</t>
  </si>
  <si>
    <r>
      <rPr>
        <sz val="9"/>
        <color rgb="FF000000"/>
        <rFont val="Arial"/>
      </rPr>
      <t xml:space="preserve">Aux1 shall diagnose measured  </t>
    </r>
    <r>
      <rPr>
        <b/>
        <sz val="9"/>
        <color rgb="FF000000"/>
        <rFont val="Arial"/>
      </rPr>
      <t>torque</t>
    </r>
  </si>
  <si>
    <t>NA</t>
  </si>
  <si>
    <t>angle from resolver</t>
  </si>
  <si>
    <t>Aux1 shall diagnose the angle from resolver
1. Angle from RDC Diagnose
2. Intial Offset Angle Diagnose</t>
  </si>
  <si>
    <t>Flux</t>
  </si>
  <si>
    <t>Aux1 Shall diagnose the generated Flux Check</t>
  </si>
  <si>
    <t>D Q axis current</t>
  </si>
  <si>
    <t>Aux1 shall diagnose the D Q axis currents
1. D-Q Axis Currents Diagnose
2. Reference D-Q Axis Currents Diagnose</t>
  </si>
  <si>
    <t>D Q axis voltage</t>
  </si>
  <si>
    <t>Aux1 shall diagnose the D Q axis voltage
1. D-Q Axis Voltage Diagnose</t>
  </si>
  <si>
    <t>Torque Control Operation</t>
  </si>
  <si>
    <t>Aux1 Shall perform the Torque Control Mode Operation</t>
  </si>
  <si>
    <t>Speed Control Operation</t>
  </si>
  <si>
    <t>Aux1 Shall perform the Speed Control Mode Operation</t>
  </si>
  <si>
    <t>MI Check</t>
  </si>
  <si>
    <t>Aux1 Shall dignose the Modulation Index</t>
  </si>
  <si>
    <t>Pre Charge Status</t>
  </si>
  <si>
    <t>Aux1 Shall Diagnose the Pre Charger Status (Charge Enable/ Disable )</t>
  </si>
  <si>
    <t>Mode of Operation</t>
  </si>
  <si>
    <t>Aux1 Shall Disgose the mode of Operation signal from VCU/Self</t>
  </si>
  <si>
    <t>Back EMF</t>
  </si>
  <si>
    <t>Aux1 Shall perform the Back EMF Diagnosis</t>
  </si>
  <si>
    <t>FOC Algorithm</t>
  </si>
  <si>
    <t>Aux1 shall diagnose the operation of FOC Algorithm</t>
  </si>
  <si>
    <t>MTPA</t>
  </si>
  <si>
    <t>Aux1 shall diagnose the operation of MTPA operation of Motor controller unit
1. D-Q Axis current corresponding to Max. Torque Diagnose
2. D-Q Axis Voltaeg for base speed calcualtion Diagnose
3. Base Speed Limit Check in Diagnose
4.Max Current, Max. torque, Stauration Limit of current in Diagnose</t>
  </si>
  <si>
    <t>Motor Running</t>
  </si>
  <si>
    <t>Aux1 shall diagnose the running operation status of Motor
1.Stop, 
2.Running</t>
  </si>
  <si>
    <t>Motor Operation Mode</t>
  </si>
  <si>
    <t>Aux1 shall diagnose the Motor operation mode
1.Traction 
2.Regen</t>
  </si>
  <si>
    <t>Motor Rotation Direction</t>
  </si>
  <si>
    <t>Aux1 shall diagnose the Motor Rotation direction
1.Forward,
2. Reverse,</t>
  </si>
  <si>
    <t xml:space="preserve">Motor Error Status check </t>
  </si>
  <si>
    <t>Aux1 shall diagnose the Motor Status check
1.Initialization,
2.ready,
3.normal,
4.fault etc.</t>
  </si>
  <si>
    <t>Inverter State Check</t>
  </si>
  <si>
    <t>Aux1 shall diagnose the Invereter State Check
1. Active
2. Deactive
3. Ideal</t>
  </si>
  <si>
    <t>Motor Controller Operation</t>
  </si>
  <si>
    <t>Aux1 shall diagnose the Motor Controller Operation
1. Torque Mode Control Diagnose
2. Speed Mode Control Diagnose</t>
  </si>
  <si>
    <t xml:space="preserve">Motor Power </t>
  </si>
  <si>
    <t>Aux1 shall diagnose the opeartion Power of Motor</t>
  </si>
  <si>
    <t>Motor Efficiency</t>
  </si>
  <si>
    <t>Aux1 shall diagnose the opeartion efficiency of Motor</t>
  </si>
  <si>
    <t>Communication</t>
  </si>
  <si>
    <t>Communication shall be over CAN</t>
  </si>
  <si>
    <t>All the requirement mentioned in Diagnotics shall be communicated over CAN</t>
  </si>
  <si>
    <t>CAN shall read Refernence Speed command and write the same to Aux1</t>
  </si>
  <si>
    <t>CAN shall read Reference Torque command and write the same to Aux1</t>
  </si>
  <si>
    <t>VCU Should check the CAN Communciation Fault with Aux1</t>
  </si>
  <si>
    <t>VCU Should Monitor the Aux1 Driver Fault through CAN</t>
  </si>
  <si>
    <t>Aux1 Should Provide Motor RPM Information to VCU Over CAN</t>
  </si>
  <si>
    <t>Aux1 Should Provide Motor Current Information to VCU Over CAN</t>
  </si>
  <si>
    <r>
      <t xml:space="preserve">Controller shall stop firing pulses </t>
    </r>
    <r>
      <rPr>
        <b/>
        <sz val="9"/>
        <color theme="1"/>
        <rFont val="Calibri"/>
        <family val="2"/>
        <scheme val="minor"/>
      </rPr>
      <t>when resolver angle is not detected by the software.</t>
    </r>
  </si>
  <si>
    <r>
      <t xml:space="preserve">Controller shall stop firing pulses </t>
    </r>
    <r>
      <rPr>
        <b/>
        <sz val="9"/>
        <color theme="1"/>
        <rFont val="Calibri"/>
        <family val="2"/>
        <scheme val="minor"/>
      </rPr>
      <t>when a fault is reported by Gate Drive hardware.</t>
    </r>
  </si>
  <si>
    <r>
      <t xml:space="preserve">Controller shall stop firing pulses </t>
    </r>
    <r>
      <rPr>
        <b/>
        <sz val="9"/>
        <color theme="1"/>
        <rFont val="Calibri"/>
        <family val="2"/>
        <scheme val="minor"/>
      </rPr>
      <t>when a fault is reported by VCU.</t>
    </r>
  </si>
  <si>
    <t>Controller shall stop the firing pulses when a communciation break happens between VCU &amp; Aux1</t>
  </si>
  <si>
    <r>
      <t>Controller shall stop the firing pulses</t>
    </r>
    <r>
      <rPr>
        <b/>
        <sz val="9"/>
        <color theme="1"/>
        <rFont val="Calibri"/>
        <family val="2"/>
        <scheme val="minor"/>
      </rPr>
      <t xml:space="preserve"> when vehicle is in stand still or Ideal condition</t>
    </r>
  </si>
  <si>
    <r>
      <t xml:space="preserve">Controller shall stop firing pulses </t>
    </r>
    <r>
      <rPr>
        <b/>
        <sz val="9"/>
        <color theme="1"/>
        <rFont val="Calibri"/>
        <family val="2"/>
        <scheme val="minor"/>
      </rPr>
      <t>when the Motor Forward &amp; Reverse motion command signal missconduct happen.</t>
    </r>
    <r>
      <rPr>
        <sz val="9"/>
        <color theme="1"/>
        <rFont val="Calibri"/>
        <family val="2"/>
        <scheme val="minor"/>
      </rPr>
      <t xml:space="preserve"> 
</t>
    </r>
    <r>
      <rPr>
        <b/>
        <sz val="9"/>
        <color theme="1"/>
        <rFont val="Calibri"/>
        <family val="2"/>
        <scheme val="minor"/>
      </rPr>
      <t>1. If Forward signal is given &amp; Motor starts to rotate In reverse direction due to some internal miscalcualtion. &amp; Vice-versa</t>
    </r>
  </si>
  <si>
    <t>General</t>
  </si>
  <si>
    <t>Aux1 shall perform an estimation of the three phase instantanious currents</t>
  </si>
  <si>
    <t>Aux1 shall perform an estimation of the three phase RMS current</t>
  </si>
  <si>
    <t>phase voltages</t>
  </si>
  <si>
    <t>Aux1 shall perform an estimation of the three phase RMS voltage</t>
  </si>
  <si>
    <t xml:space="preserve">Aux1 shall perform an estimation of angle from input encoder signals </t>
  </si>
  <si>
    <t>Intial Angle Offset</t>
  </si>
  <si>
    <t>Aux1 Shall perform an estimation of the initial angle offset for calibration of angle.</t>
  </si>
  <si>
    <t>Torque generated</t>
  </si>
  <si>
    <t>Aux1 shall perform an estimation of Electromagnetic Torque</t>
  </si>
  <si>
    <t>Refernence Torque command</t>
  </si>
  <si>
    <t>Aux1 shall perform an estiamtion of the referance Torque from VCU to perform the desired operation</t>
  </si>
  <si>
    <t>Speed</t>
  </si>
  <si>
    <t>Aux1 shall perform an estimation of the operating speed of Motor</t>
  </si>
  <si>
    <t>Refernence Speed command</t>
  </si>
  <si>
    <t>Aux1 shall perform an estiamtion of the referance speed command from VCU to perform the desired operation</t>
  </si>
  <si>
    <t>Aux1 shall perform an estimation of d-q axis currents &amp; also reference D-Q Axis Currents for Further controller operation</t>
  </si>
  <si>
    <t>Aux1 shall perform an estiamtion of d-q axis voltage reference for further coltrolling operation</t>
  </si>
  <si>
    <t>Motor Temperature</t>
  </si>
  <si>
    <t>Aux1 shall perform an esimation of the motor temperature</t>
  </si>
  <si>
    <t>Inverter Temperature</t>
  </si>
  <si>
    <t>Aux1 shall perform an estiamtion of the Inverter temperature</t>
  </si>
  <si>
    <t>Heat Sink Temperature</t>
  </si>
  <si>
    <t>Aux1 shall perfrom an estimation of the Heat Sink temperature and process the same for control and Protection</t>
  </si>
  <si>
    <t>Ambient Temperature</t>
  </si>
  <si>
    <t>Aux1 shall perform an estimation of the Ambient temperature and process the same for control and Protection</t>
  </si>
  <si>
    <t xml:space="preserve">DC link voltage </t>
  </si>
  <si>
    <t>Aux1 Shall perform an estiamtion of the  DC- Link Voltage</t>
  </si>
  <si>
    <t>DC link Current</t>
  </si>
  <si>
    <t>Aux1 shall perform an estimation of the DC Link current and process the same for control and Protection</t>
  </si>
  <si>
    <t>Motor Flux</t>
  </si>
  <si>
    <t>Aux1 shall perform an estimation of the  generated flux for diagnostics &amp; Further operations</t>
  </si>
  <si>
    <t>MOSFET Temperature</t>
  </si>
  <si>
    <t>Aux1 Shall perform an estiamtion of the MOSFET Temeprature</t>
  </si>
  <si>
    <t>12V-sense Signal</t>
  </si>
  <si>
    <t>Aux1 Shall Perform an estimation of the 12V Sense Signal</t>
  </si>
  <si>
    <t>Current Sensor 5V- Sense Signal</t>
  </si>
  <si>
    <t>Aux1 Shall perform an estimation of the 5V Signal Count for Periferal IC's power Supply in HW Board</t>
  </si>
  <si>
    <t>Encoder 5V-Sense Signal</t>
  </si>
  <si>
    <t>Aux1 Shall perform an estimation of the  Encoder 5V signal to check the Activation of the Encoder or Not</t>
  </si>
  <si>
    <t>ADC to OtherSignal 5V-Sesne Signal</t>
  </si>
  <si>
    <t>Aux1 shall perform an estimation of the 5V- Sense signal for operation of other peripheral units</t>
  </si>
  <si>
    <t>ADC to OtherSignal 3.3V- Sense Signal</t>
  </si>
  <si>
    <t>Aux1 shall perform an estimation of the estimated count of 3.3V- Sense signal for operation of other peripheral units</t>
  </si>
  <si>
    <t xml:space="preserve">FOC Algorithm </t>
  </si>
  <si>
    <t>Aux1 Shall perform an estiamtion of the Rotor Position from Quadrature Encoder Sensor</t>
  </si>
  <si>
    <t>Aux1 Shall performa an estimation of the Id &amp; Iq reference corrsponding to MTPA for generating Maximum Torque</t>
  </si>
  <si>
    <t>Aux1 Shall check the Base Speed Limit for the PMSM Motor</t>
  </si>
  <si>
    <t>MTPA_D-Q Axis Voltage</t>
  </si>
  <si>
    <t>Aux1 Shall Perform an estimation of the D- Q Axis Voltage for base speed calucaltion</t>
  </si>
  <si>
    <t>MTPA_Torque max</t>
  </si>
  <si>
    <t>Aux1 Shall Perfrom an estiamtion of the maximum Torque by considering d-q axis corrent</t>
  </si>
  <si>
    <t>MTPA_Current</t>
  </si>
  <si>
    <t>Aux1 Shall perform an estimation of the Maximum Current to produce maximum Torque</t>
  </si>
  <si>
    <t>MTPA_Current_Saturation</t>
  </si>
  <si>
    <t xml:space="preserve">Aux1 Shall perform an estimation of the maximum Current Saturation limit </t>
  </si>
  <si>
    <t>Motor Running Operation</t>
  </si>
  <si>
    <t>Aux1 Shall pefrom an estimation of the Running operation for Motor
1.Stop, 
2.Running</t>
  </si>
  <si>
    <t>Motor Operational Mode</t>
  </si>
  <si>
    <t>Aux1 Shall perform an estimation of the Operational Mode 
1.Traction 
2.Regen</t>
  </si>
  <si>
    <t>Aux1 Shall perform an estiamtion of the Motor Roration direction 
1.Forward,
2. Reverse,
3.Neutral</t>
  </si>
  <si>
    <t>Motor Error Status Check</t>
  </si>
  <si>
    <t>Aux1 Shall perform an estimation of the Current Motor Status 
1.Initialization,
2.ready,
3.normal,
4.fault etc.</t>
  </si>
  <si>
    <t>Inverter State check</t>
  </si>
  <si>
    <t>Aux1 Shall pefrom an Inverter State check
1. Active
2. Deactive
3. Ideal</t>
  </si>
  <si>
    <t>Aux1 Shall perfrom an estimation of the Motor Mode of operation according to given Command
1. Torque control Mode Operation
2. Speed control Mode Operation</t>
  </si>
  <si>
    <t>Motor fault level</t>
  </si>
  <si>
    <t>Aux1 Shall perform an estimation of the Level of fault happend with the system 
1.Normal,
2.Average, 
3.Major fault etc</t>
  </si>
  <si>
    <t>Motor fault Classification</t>
  </si>
  <si>
    <t>Aux1 Shall perform an estimation of the Fault type. 
1. During Self_Check fault 
(Error in Board,Power line,Signal line,communciation Line etc),
2. Due to Overvoltage fault
(For 3.3v,5v,12v,
Inverter Phase Voltage
Motor Phase Volatge),
3. Due to Under Voltage fault
(For 3.3v,5v,12v,
Inverter Phase Voltage
Motor Phase Voltage),
4. Due to Over current fault
(Inverter Phase Currents,
Motor Phase Currents),
5. Due to Open Circuit fault 
(Any Phase Outage), 
6. Due to Over Load fault, 
7. Due to Over Temperature fault (Motor etc),
8. Due to Aux1 12v Undervoltage fault,
9. Due to Motor Phase missing fault, 
10. Due to Resolver fault , 
11. Due to Over Speed fault
12. Due to Over Troque fault
13. Due to Rotor Block fault
14. MOSFET Temp Sensor fault
15. MOSFET Over Temp fault
16. Fault guard fault
17. Busoff fault
18. Inverter Power Module fault
19. PWM block fault
20. Current Sensor fault (DCLink,Inverter,Motor)
21. Communication Lost with VCU
22. Inverter Discharge Fault</t>
  </si>
  <si>
    <t>Aux1 Warning Classification</t>
  </si>
  <si>
    <t>Aux1 Shall perform an estimation of the Warniing Perfromance of abnroamility in complete motor control unit with it's all peripheral units.
1. Electric Motor Over Temperature Warning.
2. Electric Motor Over Speeding Warning.
3. Electric Motor Over Torque Warning.
4. Electric Motor Over current Drawing Warning.
5. Electric Motor Over Voltage Warning. 
6. MOSFET Over Temp Warning
7. Device Over Voltage Warning (3.3v,5v,12v,Power Supply,3-Phase Line).
8. Device Under Voltage Warning (3.3v,5v,12v,Power Supply,3-Phase Line).
9. CheckSum Warning</t>
  </si>
  <si>
    <t>Motor Target Torque</t>
  </si>
  <si>
    <t>Aux1 shall perfrom an estiamtion of the Traget torque limit for the desired operation at target Speed limit</t>
  </si>
  <si>
    <t>Motor Target Speed</t>
  </si>
  <si>
    <t>Aux1 Shall perform an estimation of the target speed limit at the desired command recived by VCU</t>
  </si>
  <si>
    <t>Motor Speed&amp; Torque Limit</t>
  </si>
  <si>
    <t>Aux1 shall perfrom an estiamtion of the min/max limit of Torque &amp; Speed of the Motor</t>
  </si>
  <si>
    <t>Motor Torque Rampup/ Rampdown</t>
  </si>
  <si>
    <t>Aux1 Shall pefrom an estiamtion of the limit for Torque ramp up/down for safer operation limit</t>
  </si>
  <si>
    <t>Motor Speed Rampup/Rampdown</t>
  </si>
  <si>
    <t>Aux1 Shall Perfrom an estiamtion of the limit for Speed ramp up/down for safer operation limit.</t>
  </si>
  <si>
    <t>Aux1 Controller Selection Mode</t>
  </si>
  <si>
    <t xml:space="preserve">Aux1 Shall Perform an operation on the Controller Operation mode.
1. Torque Mode Control
2. Speed Mode Control
</t>
  </si>
  <si>
    <t>Motor Power Calcualtion</t>
  </si>
  <si>
    <t xml:space="preserve">Aux1 Shall perform an estiamtion of the Power for Motor &amp; Complete Unit.
1. Input Power Estiamtion
2. Inverter Input &amp; Output Power Estimation
3. Motor Input &amp; Output Power Estimation </t>
  </si>
  <si>
    <t>Aux1 Sall perfrom an estimation of the Efficiency of the whole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</si>
</sst>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5">
    <font>
      <sz val="11"/>
      <color theme="1"/>
      <name val="Calibri"/>
      <family val="2"/>
      <scheme val="minor"/>
    </font>
    <font>
      <b/>
      <sz val="14"/>
      <color rgb="FF000000"/>
      <name val="Arial"/>
      <family val="2"/>
    </font>
    <font>
      <sz val="14"/>
      <color rgb="FF000000"/>
      <name val="Arial"/>
      <family val="2"/>
    </font>
    <font>
      <b/>
      <sz val="9"/>
      <color theme="1"/>
      <name val="Arial"/>
      <family val="2"/>
    </font>
    <font>
      <sz val="9"/>
      <color theme="1"/>
      <name val="Arial"/>
      <family val="2"/>
    </font>
    <font>
      <b/>
      <sz val="11"/>
      <color theme="1"/>
      <name val="Arial"/>
      <family val="2"/>
    </font>
    <font>
      <sz val="11"/>
      <color theme="1"/>
      <name val="Arial"/>
      <family val="2"/>
    </font>
    <font>
      <sz val="12"/>
      <color rgb="FF000000"/>
      <name val="Aptos Narrow"/>
      <family val="2"/>
    </font>
    <font>
      <b/>
      <sz val="12"/>
      <color rgb="FF000000"/>
      <name val="Arial"/>
      <family val="2"/>
    </font>
    <font>
      <sz val="12"/>
      <color rgb="FF000000"/>
      <name val="Arial"/>
      <family val="2"/>
    </font>
    <font>
      <sz val="11"/>
      <name val="Aptos Narrow"/>
    </font>
    <font>
      <sz val="11"/>
      <color rgb="FF000000"/>
      <name val="Aptos Narrow"/>
    </font>
    <font>
      <b/>
      <sz val="12"/>
      <color theme="1"/>
      <name val="Calibri"/>
      <family val="2"/>
      <scheme val="minor"/>
    </font>
    <font>
      <b/>
      <sz val="11"/>
      <name val="Aptos Narrow"/>
    </font>
    <font>
      <sz val="9"/>
      <name val="Arial"/>
      <family val="2"/>
    </font>
    <font>
      <sz val="9"/>
      <color theme="1"/>
      <name val="Calibri"/>
      <family val="2"/>
      <scheme val="minor"/>
    </font>
    <font>
      <sz val="9"/>
      <color rgb="FF000000"/>
      <name val="Arial"/>
      <family val="2"/>
    </font>
    <font>
      <b/>
      <sz val="9"/>
      <color theme="1"/>
      <name val="Calibri"/>
      <family val="2"/>
      <scheme val="minor"/>
    </font>
    <font>
      <sz val="9"/>
      <color rgb="FF000000"/>
      <name val="Arial"/>
    </font>
    <font>
      <b/>
      <sz val="9"/>
      <color rgb="FF000000"/>
      <name val="Arial"/>
    </font>
    <font>
      <sz val="12"/>
      <color theme="1"/>
      <name val="Aptos Narrow"/>
      <family val="2"/>
      <scheme val="minor"/>
    </font>
    <font>
      <sz val="9"/>
      <color theme="1"/>
      <name val="Arial"/>
    </font>
    <font>
      <sz val="10"/>
      <name val="Arial"/>
    </font>
    <font>
      <b/>
      <sz val="11"/>
      <color theme="1"/>
      <name val="Calibri"/>
      <family val="2"/>
      <scheme val="minor"/>
    </font>
    <font>
      <sz val="9"/>
      <color rgb="FF000000"/>
      <name val="Arial"/>
      <charset val="1"/>
    </font>
  </fonts>
  <fills count="11">
    <fill>
      <patternFill patternType="none"/>
    </fill>
    <fill>
      <patternFill patternType="gray125"/>
    </fill>
    <fill>
      <patternFill patternType="solid">
        <fgColor rgb="FFD9E1F2"/>
        <bgColor rgb="FF000000"/>
      </patternFill>
    </fill>
    <fill>
      <patternFill patternType="solid">
        <fgColor theme="4" tint="0.59999389629810485"/>
        <bgColor indexed="64"/>
      </patternFill>
    </fill>
    <fill>
      <patternFill patternType="solid">
        <fgColor rgb="FFFFFFFF"/>
        <bgColor rgb="FF000000"/>
      </patternFill>
    </fill>
    <fill>
      <patternFill patternType="solid">
        <fgColor rgb="FFFFC00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7030A0"/>
        <bgColor indexed="64"/>
      </patternFill>
    </fill>
    <fill>
      <patternFill patternType="solid">
        <fgColor theme="5"/>
        <bgColor indexed="64"/>
      </patternFill>
    </fill>
  </fills>
  <borders count="40">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double">
        <color rgb="FF000000"/>
      </right>
      <top style="medium">
        <color rgb="FF000000"/>
      </top>
      <bottom style="double">
        <color rgb="FF000000"/>
      </bottom>
      <diagonal/>
    </border>
    <border>
      <left style="double">
        <color rgb="FF000000"/>
      </left>
      <right style="double">
        <color rgb="FF000000"/>
      </right>
      <top style="medium">
        <color rgb="FF000000"/>
      </top>
      <bottom style="double">
        <color rgb="FF000000"/>
      </bottom>
      <diagonal/>
    </border>
    <border>
      <left style="medium">
        <color rgb="FF000000"/>
      </left>
      <right style="double">
        <color rgb="FF000000"/>
      </right>
      <top style="double">
        <color rgb="FF000000"/>
      </top>
      <bottom style="double">
        <color rgb="FF000000"/>
      </bottom>
      <diagonal/>
    </border>
    <border>
      <left style="double">
        <color rgb="FF000000"/>
      </left>
      <right style="double">
        <color rgb="FF000000"/>
      </right>
      <top style="double">
        <color rgb="FF000000"/>
      </top>
      <bottom style="double">
        <color rgb="FF000000"/>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theme="4"/>
      </top>
      <bottom/>
      <diagonal/>
    </border>
  </borders>
  <cellStyleXfs count="1">
    <xf numFmtId="0" fontId="0" fillId="0" borderId="0"/>
  </cellStyleXfs>
  <cellXfs count="98">
    <xf numFmtId="0" fontId="0" fillId="0" borderId="0" xfId="0"/>
    <xf numFmtId="0" fontId="1" fillId="2" borderId="1" xfId="0" applyFont="1" applyFill="1" applyBorder="1"/>
    <xf numFmtId="0" fontId="2" fillId="0" borderId="2" xfId="0" applyFont="1" applyBorder="1" applyAlignment="1">
      <alignment horizontal="center" vertical="center"/>
    </xf>
    <xf numFmtId="0" fontId="1" fillId="2" borderId="3" xfId="0" applyFont="1" applyFill="1" applyBorder="1"/>
    <xf numFmtId="0" fontId="2" fillId="0" borderId="4" xfId="0" applyFont="1" applyBorder="1" applyAlignment="1">
      <alignment horizontal="center" vertical="center"/>
    </xf>
    <xf numFmtId="15" fontId="2" fillId="0" borderId="4" xfId="0" applyNumberFormat="1" applyFont="1" applyBorder="1" applyAlignment="1">
      <alignment horizontal="center" vertical="center"/>
    </xf>
    <xf numFmtId="0" fontId="1" fillId="2" borderId="5" xfId="0" applyFont="1" applyFill="1" applyBorder="1"/>
    <xf numFmtId="0" fontId="2" fillId="0" borderId="6" xfId="0" applyFont="1" applyBorder="1" applyAlignment="1">
      <alignment horizontal="center" vertical="center"/>
    </xf>
    <xf numFmtId="0" fontId="4" fillId="0" borderId="0" xfId="0" applyFont="1"/>
    <xf numFmtId="0" fontId="4" fillId="0" borderId="0" xfId="0" applyFont="1" applyAlignment="1">
      <alignment horizontal="center" vertical="center"/>
    </xf>
    <xf numFmtId="0" fontId="3" fillId="0" borderId="0" xfId="0" applyFont="1"/>
    <xf numFmtId="0" fontId="4" fillId="0" borderId="0" xfId="0" applyFont="1" applyAlignment="1">
      <alignment horizontal="center"/>
    </xf>
    <xf numFmtId="0" fontId="4" fillId="3" borderId="0" xfId="0" applyFont="1" applyFill="1" applyAlignment="1">
      <alignment horizontal="center" vertical="center"/>
    </xf>
    <xf numFmtId="0" fontId="6" fillId="0" borderId="7" xfId="0" applyFont="1"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164" fontId="6" fillId="0" borderId="17" xfId="0" applyNumberFormat="1"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4" fillId="3" borderId="0" xfId="0" applyFont="1" applyFill="1" applyAlignment="1">
      <alignment horizontal="center" vertical="center" wrapText="1"/>
    </xf>
    <xf numFmtId="0" fontId="4" fillId="0" borderId="0" xfId="0" applyFont="1" applyAlignment="1">
      <alignment horizontal="center" vertical="center" wrapText="1"/>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27" xfId="0" applyFont="1" applyBorder="1" applyAlignment="1">
      <alignment horizontal="center" vertical="center" wrapText="1"/>
    </xf>
    <xf numFmtId="0" fontId="12" fillId="0" borderId="8" xfId="0" applyFont="1" applyBorder="1" applyAlignment="1">
      <alignment horizontal="center" vertical="center"/>
    </xf>
    <xf numFmtId="0" fontId="10" fillId="4" borderId="29" xfId="0" applyFont="1" applyFill="1" applyBorder="1" applyAlignment="1">
      <alignment horizontal="left" vertical="center" wrapText="1"/>
    </xf>
    <xf numFmtId="0" fontId="11" fillId="4" borderId="30" xfId="0" applyFont="1" applyFill="1" applyBorder="1" applyAlignment="1">
      <alignment horizontal="left" vertical="center" wrapText="1"/>
    </xf>
    <xf numFmtId="0" fontId="14" fillId="3" borderId="31"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4" fillId="0" borderId="7" xfId="0" applyFont="1" applyBorder="1" applyAlignment="1">
      <alignment vertical="center" wrapText="1"/>
    </xf>
    <xf numFmtId="0" fontId="4" fillId="0" borderId="7" xfId="0" applyFont="1" applyBorder="1" applyAlignment="1">
      <alignment wrapText="1"/>
    </xf>
    <xf numFmtId="0" fontId="4" fillId="7" borderId="7" xfId="0" applyFont="1" applyFill="1" applyBorder="1" applyAlignment="1">
      <alignment vertical="center" wrapText="1"/>
    </xf>
    <xf numFmtId="0" fontId="4" fillId="7" borderId="7" xfId="0" applyFont="1" applyFill="1" applyBorder="1" applyAlignment="1">
      <alignment wrapText="1"/>
    </xf>
    <xf numFmtId="0" fontId="15" fillId="0" borderId="7" xfId="0" applyFont="1" applyBorder="1" applyAlignment="1">
      <alignment wrapText="1"/>
    </xf>
    <xf numFmtId="0" fontId="15" fillId="7" borderId="7" xfId="0" applyFont="1" applyFill="1" applyBorder="1" applyAlignment="1">
      <alignment wrapText="1"/>
    </xf>
    <xf numFmtId="0" fontId="6" fillId="7" borderId="7" xfId="0" applyFont="1" applyFill="1" applyBorder="1" applyAlignment="1">
      <alignment wrapText="1"/>
    </xf>
    <xf numFmtId="0" fontId="6" fillId="0" borderId="7" xfId="0" applyFont="1" applyBorder="1" applyAlignment="1">
      <alignment wrapText="1"/>
    </xf>
    <xf numFmtId="0" fontId="4" fillId="0" borderId="37" xfId="0" applyFont="1" applyBorder="1" applyAlignment="1">
      <alignment vertical="center" wrapText="1"/>
    </xf>
    <xf numFmtId="0" fontId="15" fillId="7" borderId="7" xfId="0" applyFont="1" applyFill="1" applyBorder="1" applyAlignment="1">
      <alignment horizontal="left" vertical="center" wrapText="1"/>
    </xf>
    <xf numFmtId="0" fontId="15" fillId="0" borderId="7" xfId="0" applyFont="1" applyBorder="1" applyAlignment="1">
      <alignment horizontal="left" vertical="center" wrapText="1"/>
    </xf>
    <xf numFmtId="0" fontId="4" fillId="7" borderId="38" xfId="0" applyFont="1" applyFill="1" applyBorder="1" applyAlignment="1">
      <alignment horizontal="left" vertical="center" wrapText="1"/>
    </xf>
    <xf numFmtId="0" fontId="14" fillId="7" borderId="38" xfId="0" applyFont="1" applyFill="1" applyBorder="1" applyAlignment="1">
      <alignment wrapText="1"/>
    </xf>
    <xf numFmtId="0" fontId="4" fillId="0" borderId="38" xfId="0" applyFont="1" applyBorder="1" applyAlignment="1">
      <alignment horizontal="left" vertical="center" wrapText="1"/>
    </xf>
    <xf numFmtId="0" fontId="14" fillId="0" borderId="38" xfId="0" applyFont="1" applyBorder="1" applyAlignment="1">
      <alignment wrapText="1"/>
    </xf>
    <xf numFmtId="0" fontId="4" fillId="7" borderId="38" xfId="0" applyFont="1" applyFill="1" applyBorder="1" applyAlignment="1">
      <alignment horizontal="left" wrapText="1"/>
    </xf>
    <xf numFmtId="0" fontId="4" fillId="0" borderId="38" xfId="0" applyFont="1" applyBorder="1" applyAlignment="1">
      <alignment horizontal="left" wrapText="1"/>
    </xf>
    <xf numFmtId="0" fontId="16" fillId="0" borderId="38" xfId="0" applyFont="1" applyBorder="1" applyAlignment="1">
      <alignment wrapText="1"/>
    </xf>
    <xf numFmtId="0" fontId="4" fillId="7" borderId="38" xfId="0" applyFont="1" applyFill="1" applyBorder="1" applyAlignment="1">
      <alignment wrapText="1"/>
    </xf>
    <xf numFmtId="0" fontId="4" fillId="7" borderId="38" xfId="0" applyFont="1" applyFill="1" applyBorder="1" applyAlignment="1">
      <alignment vertical="center" wrapText="1"/>
    </xf>
    <xf numFmtId="0" fontId="16" fillId="7" borderId="38" xfId="0" applyFont="1" applyFill="1" applyBorder="1" applyAlignment="1">
      <alignment wrapText="1"/>
    </xf>
    <xf numFmtId="0" fontId="4" fillId="0" borderId="38" xfId="0" applyFont="1" applyBorder="1" applyAlignment="1">
      <alignment wrapText="1"/>
    </xf>
    <xf numFmtId="0" fontId="9" fillId="6" borderId="27" xfId="0" applyFont="1" applyFill="1" applyBorder="1" applyAlignment="1">
      <alignment horizontal="center" vertical="center" wrapText="1"/>
    </xf>
    <xf numFmtId="0" fontId="9" fillId="8" borderId="27" xfId="0" applyFont="1" applyFill="1" applyBorder="1" applyAlignment="1">
      <alignment horizontal="center" vertical="center" wrapText="1"/>
    </xf>
    <xf numFmtId="0" fontId="7" fillId="8" borderId="27" xfId="0" applyFont="1" applyFill="1" applyBorder="1" applyAlignment="1">
      <alignment vertical="center" wrapText="1"/>
    </xf>
    <xf numFmtId="0" fontId="20" fillId="8" borderId="27" xfId="0" applyFont="1" applyFill="1" applyBorder="1" applyAlignment="1">
      <alignment vertical="center" wrapText="1"/>
    </xf>
    <xf numFmtId="0" fontId="9" fillId="5" borderId="27" xfId="0" applyFont="1" applyFill="1" applyBorder="1" applyAlignment="1">
      <alignment horizontal="center" vertical="center" wrapText="1"/>
    </xf>
    <xf numFmtId="0" fontId="21" fillId="0" borderId="7" xfId="0" applyFont="1" applyBorder="1" applyAlignment="1">
      <alignment horizontal="left" vertical="center" wrapText="1"/>
    </xf>
    <xf numFmtId="0" fontId="21" fillId="3" borderId="7" xfId="0" applyFont="1" applyFill="1" applyBorder="1" applyAlignment="1">
      <alignment horizontal="left" vertical="center" wrapText="1"/>
    </xf>
    <xf numFmtId="0" fontId="4" fillId="0" borderId="7" xfId="0" applyFont="1" applyBorder="1" applyAlignment="1">
      <alignment horizontal="left" vertical="center" wrapText="1"/>
    </xf>
    <xf numFmtId="0" fontId="4" fillId="0" borderId="35" xfId="0" applyFont="1" applyBorder="1" applyAlignment="1">
      <alignment horizontal="left" vertical="center" wrapText="1"/>
    </xf>
    <xf numFmtId="0" fontId="21" fillId="0" borderId="28" xfId="0" applyFont="1" applyBorder="1" applyAlignment="1">
      <alignment horizontal="left" vertical="center"/>
    </xf>
    <xf numFmtId="0" fontId="18" fillId="3" borderId="7" xfId="0" applyFont="1" applyFill="1" applyBorder="1" applyAlignment="1">
      <alignment horizontal="left" vertical="center" wrapText="1"/>
    </xf>
    <xf numFmtId="0" fontId="21" fillId="3" borderId="7" xfId="0" applyFont="1" applyFill="1" applyBorder="1" applyAlignment="1">
      <alignment horizontal="left" vertical="center"/>
    </xf>
    <xf numFmtId="0" fontId="4" fillId="3" borderId="7"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18" fillId="0" borderId="7" xfId="0" applyFont="1" applyBorder="1" applyAlignment="1">
      <alignment horizontal="left" vertical="center" wrapText="1"/>
    </xf>
    <xf numFmtId="0" fontId="21" fillId="0" borderId="7" xfId="0" applyFont="1" applyBorder="1" applyAlignment="1">
      <alignment horizontal="left" vertical="center"/>
    </xf>
    <xf numFmtId="0" fontId="4" fillId="0" borderId="7" xfId="0" applyFont="1" applyBorder="1" applyAlignment="1">
      <alignment horizontal="left" vertical="center"/>
    </xf>
    <xf numFmtId="0" fontId="4" fillId="0" borderId="33" xfId="0" applyFont="1" applyBorder="1" applyAlignment="1">
      <alignment horizontal="left" vertical="center"/>
    </xf>
    <xf numFmtId="0" fontId="21" fillId="0" borderId="33" xfId="0" applyFont="1" applyBorder="1" applyAlignment="1">
      <alignment horizontal="left" vertical="center"/>
    </xf>
    <xf numFmtId="0" fontId="21" fillId="3" borderId="35" xfId="0" applyFont="1" applyFill="1" applyBorder="1" applyAlignment="1">
      <alignment horizontal="left" vertical="center"/>
    </xf>
    <xf numFmtId="0" fontId="4" fillId="0" borderId="34" xfId="0" applyFont="1" applyBorder="1" applyAlignment="1">
      <alignment horizontal="left" vertical="center"/>
    </xf>
    <xf numFmtId="0" fontId="4" fillId="5" borderId="7" xfId="0" applyFont="1" applyFill="1" applyBorder="1" applyAlignment="1">
      <alignment horizontal="left" vertical="center"/>
    </xf>
    <xf numFmtId="0" fontId="21" fillId="5" borderId="7" xfId="0" applyFont="1" applyFill="1" applyBorder="1" applyAlignment="1">
      <alignment horizontal="left" vertical="center"/>
    </xf>
    <xf numFmtId="0" fontId="22" fillId="0" borderId="39" xfId="0" applyFont="1" applyBorder="1" applyAlignment="1">
      <alignment horizontal="left" vertical="center" wrapText="1"/>
    </xf>
    <xf numFmtId="0" fontId="4" fillId="0" borderId="35" xfId="0" applyFont="1" applyBorder="1" applyAlignment="1">
      <alignment horizontal="left" vertical="center"/>
    </xf>
    <xf numFmtId="0" fontId="4" fillId="0" borderId="36" xfId="0" applyFont="1" applyBorder="1" applyAlignment="1">
      <alignment horizontal="left" vertical="center"/>
    </xf>
    <xf numFmtId="0" fontId="4" fillId="0" borderId="0" xfId="0" applyFont="1" applyAlignment="1">
      <alignment horizontal="left" vertical="center"/>
    </xf>
    <xf numFmtId="0" fontId="0" fillId="9" borderId="0" xfId="0" applyFill="1"/>
    <xf numFmtId="0" fontId="21" fillId="0" borderId="35" xfId="0" applyFont="1" applyBorder="1" applyAlignment="1">
      <alignment horizontal="left" vertical="center"/>
    </xf>
    <xf numFmtId="0" fontId="18" fillId="10" borderId="7" xfId="0" applyFont="1" applyFill="1" applyBorder="1" applyAlignment="1">
      <alignment horizontal="left" vertical="center" wrapText="1"/>
    </xf>
    <xf numFmtId="0" fontId="21" fillId="10" borderId="7" xfId="0" applyFont="1" applyFill="1" applyBorder="1" applyAlignment="1">
      <alignment horizontal="left" vertical="center" wrapText="1"/>
    </xf>
    <xf numFmtId="0" fontId="21" fillId="0" borderId="0" xfId="0" applyFont="1" applyAlignment="1">
      <alignment horizontal="left" vertical="center"/>
    </xf>
    <xf numFmtId="0" fontId="24" fillId="0" borderId="0" xfId="0" applyFont="1"/>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3" fillId="0" borderId="21" xfId="0" applyFont="1" applyBorder="1" applyAlignment="1">
      <alignment horizontal="center"/>
    </xf>
    <xf numFmtId="0" fontId="3" fillId="0" borderId="22" xfId="0" applyFont="1" applyBorder="1" applyAlignment="1">
      <alignment horizontal="center"/>
    </xf>
    <xf numFmtId="0" fontId="3" fillId="0" borderId="23" xfId="0" applyFont="1" applyBorder="1" applyAlignment="1">
      <alignment horizontal="center"/>
    </xf>
  </cellXfs>
  <cellStyles count="1">
    <cellStyle name="Normal" xfId="0" builtinId="0"/>
  </cellStyles>
  <dxfs count="17">
    <dxf>
      <font>
        <b val="0"/>
        <i val="0"/>
        <strike val="0"/>
        <condense val="0"/>
        <extend val="0"/>
        <outline val="0"/>
        <shadow val="0"/>
        <u val="none"/>
        <vertAlign val="baseline"/>
        <sz val="9"/>
        <color theme="1"/>
        <name val="Arial"/>
        <scheme val="none"/>
      </font>
      <alignment horizontal="left" vertical="center" textRotation="0" indent="0" justifyLastLine="0" shrinkToFit="0" readingOrder="0"/>
    </dxf>
    <dxf>
      <font>
        <b val="0"/>
        <i val="0"/>
        <strike val="0"/>
        <condense val="0"/>
        <extend val="0"/>
        <outline val="0"/>
        <shadow val="0"/>
        <u val="none"/>
        <vertAlign val="baseline"/>
        <sz val="9"/>
        <color theme="1"/>
        <name val="Arial"/>
        <scheme val="none"/>
      </font>
      <alignment horizontal="left" vertical="center" textRotation="0" indent="0" justifyLastLine="0" shrinkToFit="0" readingOrder="0"/>
    </dxf>
    <dxf>
      <font>
        <b val="0"/>
        <i val="0"/>
        <strike val="0"/>
        <condense val="0"/>
        <extend val="0"/>
        <outline val="0"/>
        <shadow val="0"/>
        <u val="none"/>
        <vertAlign val="baseline"/>
        <sz val="9"/>
        <color theme="1"/>
        <name val="Arial"/>
        <scheme val="none"/>
      </font>
      <alignment horizontal="left" vertical="center" textRotation="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9"/>
        <color theme="1"/>
        <name val="Arial"/>
        <scheme val="none"/>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Arial"/>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Arial"/>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scheme val="none"/>
      </font>
      <alignment horizontal="left" vertical="center"/>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scheme val="none"/>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scheme val="none"/>
      </font>
      <alignment horizontal="left" vertical="center"/>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alignment horizontal="left" vertical="center"/>
    </dxf>
    <dxf>
      <font>
        <b val="0"/>
        <i val="0"/>
        <strike val="0"/>
        <condense val="0"/>
        <extend val="0"/>
        <outline val="0"/>
        <shadow val="0"/>
        <u val="none"/>
        <vertAlign val="baseline"/>
        <sz val="9"/>
        <color auto="1"/>
        <name val="Arial"/>
        <scheme val="none"/>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L96" totalsRowShown="0" headerRowDxfId="16" dataDxfId="15" headerRowBorderDxfId="13" tableBorderDxfId="14" totalsRowBorderDxfId="12">
  <autoFilter ref="A1:L96" xr:uid="{00000000-0009-0000-0100-000001000000}"/>
  <tableColumns count="12">
    <tableColumn id="1" xr3:uid="{00000000-0010-0000-0000-000001000000}" name="Req.id" dataDxfId="11"/>
    <tableColumn id="2" xr3:uid="{00000000-0010-0000-0000-000002000000}" name="Description" dataDxfId="10"/>
    <tableColumn id="3" xr3:uid="{00000000-0010-0000-0000-000003000000}" name="Requirement" dataDxfId="9"/>
    <tableColumn id="4" xr3:uid="{00000000-0010-0000-0000-000004000000}" name="I/O" dataDxfId="8"/>
    <tableColumn id="5" xr3:uid="{00000000-0010-0000-0000-000005000000}" name="Rd/Est/Wrt" dataDxfId="7"/>
    <tableColumn id="6" xr3:uid="{00000000-0010-0000-0000-000006000000}" name="no. of sig" dataDxfId="6"/>
    <tableColumn id="13" xr3:uid="{00000000-0010-0000-0000-00000D000000}" name="Category" dataDxfId="5"/>
    <tableColumn id="11" xr3:uid="{1D5F480F-16AC-48DD-8634-646098EAF988}" name="Linked Sys Requirement" dataDxfId="4"/>
    <tableColumn id="7" xr3:uid="{00000000-0010-0000-0000-000007000000}" name="applicable" dataDxfId="3"/>
    <tableColumn id="8" xr3:uid="{00000000-0010-0000-0000-000008000000}" name="signal" dataDxfId="2"/>
    <tableColumn id="9" xr3:uid="{00000000-0010-0000-0000-000009000000}" name="Xin1 Project (Pin Map Chk)" dataDxfId="1"/>
    <tableColumn id="10" xr3:uid="{00000000-0010-0000-0000-00000A000000}" name="Functi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1"/>
  <sheetViews>
    <sheetView workbookViewId="0">
      <selection activeCell="I2" sqref="I2"/>
    </sheetView>
  </sheetViews>
  <sheetFormatPr defaultRowHeight="15"/>
  <cols>
    <col min="2" max="2" width="26.7109375" customWidth="1"/>
    <col min="3" max="3" width="32.140625" customWidth="1"/>
    <col min="9" max="9" width="126.140625" customWidth="1"/>
  </cols>
  <sheetData>
    <row r="1" spans="2:9" ht="15.75" thickBot="1"/>
    <row r="2" spans="2:9" ht="39.75" customHeight="1" thickBot="1">
      <c r="B2" s="1" t="s">
        <v>0</v>
      </c>
      <c r="C2" s="2" t="s">
        <v>1</v>
      </c>
      <c r="H2" s="30" t="s">
        <v>2</v>
      </c>
      <c r="I2" s="31" t="s">
        <v>3</v>
      </c>
    </row>
    <row r="3" spans="2:9" ht="29.25" thickBot="1">
      <c r="B3" s="3" t="s">
        <v>4</v>
      </c>
      <c r="C3" s="4" t="s">
        <v>5</v>
      </c>
      <c r="H3" s="30" t="s">
        <v>6</v>
      </c>
      <c r="I3" s="32" t="s">
        <v>7</v>
      </c>
    </row>
    <row r="4" spans="2:9" ht="18">
      <c r="B4" s="3" t="s">
        <v>8</v>
      </c>
      <c r="C4" s="4" t="s">
        <v>9</v>
      </c>
    </row>
    <row r="5" spans="2:9" ht="18">
      <c r="B5" s="3" t="s">
        <v>10</v>
      </c>
      <c r="C5" s="5">
        <v>45972</v>
      </c>
    </row>
    <row r="6" spans="2:9" ht="18">
      <c r="B6" s="3" t="s">
        <v>11</v>
      </c>
      <c r="C6" s="4"/>
    </row>
    <row r="7" spans="2:9" ht="18">
      <c r="B7" s="3" t="s">
        <v>12</v>
      </c>
      <c r="C7" s="5"/>
    </row>
    <row r="8" spans="2:9" ht="18">
      <c r="B8" s="3" t="s">
        <v>13</v>
      </c>
      <c r="C8" s="4"/>
    </row>
    <row r="9" spans="2:9" ht="18">
      <c r="B9" s="3" t="s">
        <v>14</v>
      </c>
      <c r="C9" s="4"/>
    </row>
    <row r="10" spans="2:9" ht="18">
      <c r="B10" s="3" t="s">
        <v>15</v>
      </c>
      <c r="C10" s="4"/>
    </row>
    <row r="11" spans="2:9" ht="18.75" thickBot="1">
      <c r="B11" s="6" t="s">
        <v>16</v>
      </c>
      <c r="C1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6"/>
  <sheetViews>
    <sheetView topLeftCell="A6" workbookViewId="0">
      <selection activeCell="I7" sqref="I7"/>
    </sheetView>
  </sheetViews>
  <sheetFormatPr defaultRowHeight="15"/>
  <cols>
    <col min="3" max="3" width="10.28515625" customWidth="1"/>
    <col min="4" max="4" width="28.140625" customWidth="1"/>
  </cols>
  <sheetData>
    <row r="1" spans="2:5" ht="15.75" thickBot="1"/>
    <row r="2" spans="2:5" ht="15.75" thickBot="1">
      <c r="B2" s="92" t="s">
        <v>17</v>
      </c>
      <c r="C2" s="93"/>
      <c r="D2" s="94"/>
      <c r="E2" s="10"/>
    </row>
    <row r="3" spans="2:5">
      <c r="B3" s="14" t="s">
        <v>18</v>
      </c>
      <c r="C3" s="15" t="s">
        <v>19</v>
      </c>
      <c r="D3" s="16" t="s">
        <v>20</v>
      </c>
      <c r="E3" s="11"/>
    </row>
    <row r="4" spans="2:5">
      <c r="B4" s="17">
        <v>1</v>
      </c>
      <c r="C4" s="13" t="s">
        <v>21</v>
      </c>
      <c r="D4" s="18" t="s">
        <v>22</v>
      </c>
      <c r="E4" s="8"/>
    </row>
    <row r="5" spans="2:5">
      <c r="B5" s="17">
        <v>2</v>
      </c>
      <c r="C5" s="13" t="s">
        <v>23</v>
      </c>
      <c r="D5" s="18" t="s">
        <v>24</v>
      </c>
      <c r="E5" s="8"/>
    </row>
    <row r="6" spans="2:5">
      <c r="B6" s="17">
        <v>3</v>
      </c>
      <c r="C6" s="13" t="s">
        <v>25</v>
      </c>
      <c r="D6" s="18" t="s">
        <v>26</v>
      </c>
      <c r="E6" s="8"/>
    </row>
    <row r="7" spans="2:5">
      <c r="B7" s="17">
        <v>4</v>
      </c>
      <c r="C7" s="13" t="s">
        <v>27</v>
      </c>
      <c r="D7" s="19" t="s">
        <v>28</v>
      </c>
      <c r="E7" s="8"/>
    </row>
    <row r="8" spans="2:5">
      <c r="B8" s="17">
        <v>5</v>
      </c>
      <c r="C8" s="13" t="s">
        <v>29</v>
      </c>
      <c r="D8" s="19" t="s">
        <v>30</v>
      </c>
      <c r="E8" s="8"/>
    </row>
    <row r="9" spans="2:5">
      <c r="B9" s="17">
        <v>6</v>
      </c>
      <c r="C9" s="13" t="s">
        <v>31</v>
      </c>
      <c r="D9" s="19" t="s">
        <v>32</v>
      </c>
      <c r="E9" s="8"/>
    </row>
    <row r="10" spans="2:5">
      <c r="B10" s="17">
        <v>7</v>
      </c>
      <c r="C10" s="13" t="s">
        <v>33</v>
      </c>
      <c r="D10" s="18" t="s">
        <v>34</v>
      </c>
      <c r="E10" s="8"/>
    </row>
    <row r="11" spans="2:5">
      <c r="B11" s="17">
        <v>8</v>
      </c>
      <c r="C11" s="13" t="s">
        <v>35</v>
      </c>
      <c r="D11" s="18" t="s">
        <v>36</v>
      </c>
      <c r="E11" s="8"/>
    </row>
    <row r="12" spans="2:5">
      <c r="B12" s="17">
        <v>9</v>
      </c>
      <c r="C12" s="13" t="s">
        <v>37</v>
      </c>
      <c r="D12" s="18" t="s">
        <v>38</v>
      </c>
      <c r="E12" s="8"/>
    </row>
    <row r="13" spans="2:5">
      <c r="B13" s="17">
        <v>10</v>
      </c>
      <c r="C13" s="13" t="s">
        <v>39</v>
      </c>
      <c r="D13" s="18" t="s">
        <v>40</v>
      </c>
      <c r="E13" s="8"/>
    </row>
    <row r="14" spans="2:5">
      <c r="B14" s="17">
        <v>11</v>
      </c>
      <c r="C14" s="13" t="s">
        <v>41</v>
      </c>
      <c r="D14" s="18" t="s">
        <v>42</v>
      </c>
      <c r="E14" s="8"/>
    </row>
    <row r="15" spans="2:5">
      <c r="B15" s="17">
        <v>12</v>
      </c>
      <c r="C15" s="13" t="s">
        <v>43</v>
      </c>
      <c r="D15" s="18" t="s">
        <v>44</v>
      </c>
      <c r="E15" s="8"/>
    </row>
    <row r="16" spans="2:5" ht="15.75" thickBot="1">
      <c r="B16" s="20">
        <v>13</v>
      </c>
      <c r="C16" s="21" t="s">
        <v>45</v>
      </c>
      <c r="D16" s="22" t="s">
        <v>46</v>
      </c>
      <c r="E16" s="8"/>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25"/>
  <sheetViews>
    <sheetView zoomScale="115" zoomScaleNormal="115" workbookViewId="0">
      <selection activeCell="F28" sqref="F28"/>
    </sheetView>
  </sheetViews>
  <sheetFormatPr defaultRowHeight="15"/>
  <cols>
    <col min="2" max="2" width="17.85546875" customWidth="1"/>
    <col min="3" max="3" width="15.28515625" customWidth="1"/>
    <col min="4" max="4" width="25.7109375" customWidth="1"/>
    <col min="5" max="5" width="10.5703125" customWidth="1"/>
  </cols>
  <sheetData>
    <row r="2" spans="2:11" ht="15.75" thickBot="1"/>
    <row r="3" spans="2:11" ht="15.75" thickBot="1">
      <c r="B3" s="95" t="s">
        <v>47</v>
      </c>
      <c r="C3" s="96"/>
      <c r="D3" s="96"/>
      <c r="E3" s="96"/>
      <c r="F3" s="96"/>
      <c r="G3" s="96"/>
      <c r="H3" s="97"/>
    </row>
    <row r="4" spans="2:11">
      <c r="B4" s="12" t="s">
        <v>48</v>
      </c>
      <c r="C4" s="23" t="s">
        <v>49</v>
      </c>
      <c r="D4" s="23" t="s">
        <v>50</v>
      </c>
      <c r="E4" s="12" t="s">
        <v>51</v>
      </c>
      <c r="F4" s="12" t="s">
        <v>52</v>
      </c>
      <c r="G4" s="12" t="s">
        <v>53</v>
      </c>
      <c r="H4" s="12" t="s">
        <v>54</v>
      </c>
    </row>
    <row r="5" spans="2:11" ht="24">
      <c r="B5" s="9" t="s">
        <v>55</v>
      </c>
      <c r="C5" s="24" t="s">
        <v>56</v>
      </c>
      <c r="D5" s="24" t="str">
        <f>"The motor shall be a "&amp;E5&amp;" motor"</f>
        <v>The motor shall be a PMSM motor</v>
      </c>
      <c r="E5" s="9" t="s">
        <v>57</v>
      </c>
      <c r="F5" s="9"/>
      <c r="G5" s="9"/>
      <c r="H5" s="9"/>
    </row>
    <row r="6" spans="2:11" ht="24">
      <c r="B6" s="9" t="s">
        <v>58</v>
      </c>
      <c r="C6" s="24" t="s">
        <v>59</v>
      </c>
      <c r="D6" s="24" t="str">
        <f>"The motor shall have a rated voltage of " &amp; E6 &amp;F6</f>
        <v>The motor shall have a rated voltage of 380V</v>
      </c>
      <c r="E6" s="9">
        <v>380</v>
      </c>
      <c r="F6" s="9" t="s">
        <v>60</v>
      </c>
      <c r="G6" s="9"/>
      <c r="H6" s="9"/>
    </row>
    <row r="7" spans="2:11" ht="24">
      <c r="B7" s="9" t="s">
        <v>61</v>
      </c>
      <c r="C7" s="24" t="s">
        <v>62</v>
      </c>
      <c r="D7" s="24" t="str">
        <f>"The motor shall provide a continuous power of " &amp;E7 &amp;F7</f>
        <v>The motor shall provide a continuous power of 3.7KW</v>
      </c>
      <c r="E7" s="9">
        <v>3.7</v>
      </c>
      <c r="F7" s="9" t="s">
        <v>63</v>
      </c>
      <c r="G7" s="9"/>
      <c r="H7" s="9"/>
    </row>
    <row r="8" spans="2:11" ht="24">
      <c r="B8" s="9" t="s">
        <v>64</v>
      </c>
      <c r="C8" s="24" t="s">
        <v>65</v>
      </c>
      <c r="D8" s="24" t="str">
        <f>"The motor shall provide a peak power of " &amp; E8 &amp;F8</f>
        <v>The motor shall provide a peak power of 7.8KW</v>
      </c>
      <c r="E8" s="9">
        <v>7.8</v>
      </c>
      <c r="F8" s="9" t="s">
        <v>63</v>
      </c>
      <c r="G8" s="9"/>
      <c r="H8" s="9"/>
      <c r="K8" s="9"/>
    </row>
    <row r="9" spans="2:11" ht="24">
      <c r="B9" s="9" t="s">
        <v>66</v>
      </c>
      <c r="C9" s="24" t="s">
        <v>67</v>
      </c>
      <c r="D9" s="24" t="str">
        <f>"The motor shall provide a peak power for time " &amp; E9 &amp;F9</f>
        <v>The motor shall provide a peak power for time 120Sec</v>
      </c>
      <c r="E9" s="9">
        <v>120</v>
      </c>
      <c r="F9" s="9" t="s">
        <v>68</v>
      </c>
      <c r="G9" s="9"/>
      <c r="H9" s="9"/>
    </row>
    <row r="10" spans="2:11" ht="24">
      <c r="B10" s="9" t="s">
        <v>69</v>
      </c>
      <c r="C10" s="24" t="s">
        <v>70</v>
      </c>
      <c r="D10" s="24" t="str">
        <f>"The motor shall have a rated speed of " &amp; E10 &amp;F10</f>
        <v>The motor shall have a rated speed of 1500RPM</v>
      </c>
      <c r="E10" s="9">
        <v>1500</v>
      </c>
      <c r="F10" s="9" t="s">
        <v>21</v>
      </c>
      <c r="G10" s="9"/>
      <c r="H10" s="9"/>
    </row>
    <row r="11" spans="2:11" ht="24">
      <c r="B11" s="9" t="s">
        <v>71</v>
      </c>
      <c r="C11" s="24" t="s">
        <v>72</v>
      </c>
      <c r="D11" s="24" t="str">
        <f>"The motor shall deliver a torque rated " &amp; E11 &amp;F11</f>
        <v>The motor shall deliver a torque rated 19.1Nm</v>
      </c>
      <c r="E11" s="9">
        <v>19.100000000000001</v>
      </c>
      <c r="F11" s="9" t="s">
        <v>73</v>
      </c>
      <c r="G11" s="9"/>
      <c r="H11" s="9"/>
    </row>
    <row r="12" spans="2:11" ht="24">
      <c r="B12" s="9" t="s">
        <v>74</v>
      </c>
      <c r="C12" s="24" t="s">
        <v>75</v>
      </c>
      <c r="D12" s="24" t="str">
        <f>"The motor shall deliver a peak torque rated " &amp; E12 &amp;F12</f>
        <v>The motor shall deliver a peak torque rated 50Nm</v>
      </c>
      <c r="E12" s="9">
        <v>50</v>
      </c>
      <c r="F12" s="9" t="s">
        <v>73</v>
      </c>
      <c r="G12" s="9"/>
      <c r="H12" s="9"/>
    </row>
    <row r="13" spans="2:11" ht="24">
      <c r="B13" s="9"/>
      <c r="C13" s="24" t="s">
        <v>76</v>
      </c>
      <c r="D13" s="24" t="str">
        <f>"The motor shall draw a rated current of " &amp; E13 &amp;F13</f>
        <v>The motor shall draw a rated current of 8A</v>
      </c>
      <c r="E13" s="9">
        <v>8</v>
      </c>
      <c r="F13" s="9" t="s">
        <v>77</v>
      </c>
      <c r="G13" s="9"/>
      <c r="H13" s="9"/>
    </row>
    <row r="14" spans="2:11" ht="24">
      <c r="B14" s="9"/>
      <c r="C14" s="24" t="s">
        <v>78</v>
      </c>
      <c r="D14" s="24" t="str">
        <f>"The motor shall draw a peak current of " &amp; E14 &amp;F14</f>
        <v>The motor shall draw a peak current of 21A</v>
      </c>
      <c r="E14" s="9">
        <v>21</v>
      </c>
      <c r="F14" s="9" t="s">
        <v>77</v>
      </c>
      <c r="G14" s="9"/>
      <c r="H14" s="9"/>
    </row>
    <row r="15" spans="2:11" ht="24">
      <c r="B15" s="9"/>
      <c r="C15" s="24" t="s">
        <v>79</v>
      </c>
      <c r="D15" s="24" t="str">
        <f>"The motor shall operate at rated frequency of " &amp; E15 &amp;F15</f>
        <v>The motor shall operate at rated frequency of 100Hz</v>
      </c>
      <c r="E15" s="9">
        <v>100</v>
      </c>
      <c r="F15" s="9" t="s">
        <v>80</v>
      </c>
      <c r="G15" s="9"/>
      <c r="H15" s="9"/>
    </row>
    <row r="16" spans="2:11" ht="24">
      <c r="B16" s="9"/>
      <c r="C16" s="24" t="s">
        <v>81</v>
      </c>
      <c r="D16" s="24" t="s">
        <v>82</v>
      </c>
      <c r="E16" s="9">
        <v>4</v>
      </c>
      <c r="F16" s="9"/>
      <c r="G16" s="9"/>
      <c r="H16" s="9"/>
    </row>
    <row r="17" spans="2:8" ht="24">
      <c r="B17" s="9" t="s">
        <v>83</v>
      </c>
      <c r="C17" s="24" t="s">
        <v>84</v>
      </c>
      <c r="D17" s="24"/>
      <c r="E17" s="9"/>
      <c r="F17" s="9"/>
      <c r="G17" s="9"/>
      <c r="H17" s="9"/>
    </row>
    <row r="18" spans="2:8" ht="24">
      <c r="B18" s="9" t="s">
        <v>85</v>
      </c>
      <c r="C18" s="24" t="s">
        <v>86</v>
      </c>
      <c r="D18" s="24"/>
      <c r="E18" s="9"/>
      <c r="F18" s="9"/>
      <c r="G18" s="9"/>
      <c r="H18" s="9"/>
    </row>
    <row r="19" spans="2:8" ht="24">
      <c r="B19" s="9" t="s">
        <v>87</v>
      </c>
      <c r="C19" s="24" t="s">
        <v>88</v>
      </c>
      <c r="D19" s="24" t="str">
        <f>"The motor shall have a rated temperature of " &amp; E19 &amp;F19</f>
        <v>The motor shall have a rated temperature of C</v>
      </c>
      <c r="E19" s="9"/>
      <c r="F19" s="9" t="s">
        <v>89</v>
      </c>
      <c r="G19" s="9"/>
      <c r="H19" s="9"/>
    </row>
    <row r="20" spans="2:8" ht="24">
      <c r="B20" s="9" t="s">
        <v>90</v>
      </c>
      <c r="C20" s="24" t="s">
        <v>91</v>
      </c>
      <c r="D20" s="24" t="str">
        <f>"The motor shall have " &amp; E20 &amp;" cooled"</f>
        <v>The motor shall have air cooled</v>
      </c>
      <c r="E20" s="9" t="s">
        <v>92</v>
      </c>
      <c r="F20" s="9"/>
      <c r="G20" s="9"/>
      <c r="H20" s="9"/>
    </row>
    <row r="21" spans="2:8" ht="24">
      <c r="B21" s="9" t="s">
        <v>93</v>
      </c>
      <c r="C21" s="24" t="s">
        <v>94</v>
      </c>
      <c r="D21" s="24" t="str">
        <f>"The motor drive inverter shall have a rated power of " &amp;E21 &amp;F21</f>
        <v>The motor drive inverter shall have a rated power of 10KW</v>
      </c>
      <c r="E21" s="9">
        <v>10</v>
      </c>
      <c r="F21" s="9" t="s">
        <v>63</v>
      </c>
      <c r="G21" s="9"/>
      <c r="H21" s="9"/>
    </row>
    <row r="22" spans="2:8" ht="24">
      <c r="B22" s="9" t="s">
        <v>95</v>
      </c>
      <c r="C22" s="24" t="s">
        <v>96</v>
      </c>
      <c r="D22" s="24" t="str">
        <f>"The motor drive inverter shall have a rated current of " &amp;E22 &amp;F22</f>
        <v>The motor drive inverter shall have a rated current of 18A</v>
      </c>
      <c r="E22" s="9">
        <v>18</v>
      </c>
      <c r="F22" s="9" t="s">
        <v>77</v>
      </c>
      <c r="G22" s="9"/>
      <c r="H22" s="9"/>
    </row>
    <row r="23" spans="2:8" ht="24">
      <c r="B23" s="9" t="s">
        <v>97</v>
      </c>
      <c r="C23" s="24" t="s">
        <v>98</v>
      </c>
      <c r="D23" s="24" t="str">
        <f>"The motor drive inverter shall have a rated voltage of " &amp;E23 &amp;F23</f>
        <v>The motor drive inverter shall have a rated voltage of 800V</v>
      </c>
      <c r="E23" s="9">
        <v>800</v>
      </c>
      <c r="F23" s="9" t="s">
        <v>60</v>
      </c>
      <c r="G23" s="9">
        <v>600</v>
      </c>
      <c r="H23" s="9">
        <v>1000</v>
      </c>
    </row>
    <row r="24" spans="2:8" ht="24">
      <c r="B24" s="9" t="s">
        <v>99</v>
      </c>
      <c r="C24" s="24" t="s">
        <v>100</v>
      </c>
      <c r="D24" s="24" t="str">
        <f>"The motor drive inverter shall have a peak current of " &amp;E24 &amp;F24</f>
        <v>The motor drive inverter shall have a peak current of A</v>
      </c>
      <c r="E24" s="9"/>
      <c r="F24" s="9" t="s">
        <v>77</v>
      </c>
      <c r="G24" s="9"/>
      <c r="H24" s="9"/>
    </row>
    <row r="25" spans="2:8" ht="24">
      <c r="B25" s="9" t="s">
        <v>101</v>
      </c>
      <c r="C25" s="24" t="s">
        <v>102</v>
      </c>
      <c r="D25" s="24" t="str">
        <f>"The motor drive inverter shall have a peak current for " &amp;E25 &amp;F25</f>
        <v>The motor drive inverter shall have a peak current for Sec</v>
      </c>
      <c r="E25" s="9"/>
      <c r="F25" s="9" t="s">
        <v>68</v>
      </c>
      <c r="G25" s="9"/>
      <c r="H25" s="9"/>
    </row>
  </sheetData>
  <mergeCells count="1">
    <mergeCell ref="B3: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2"/>
  <sheetViews>
    <sheetView tabSelected="1" topLeftCell="A10" zoomScale="85" zoomScaleNormal="85" workbookViewId="0">
      <selection activeCell="B3" sqref="B3:B22"/>
    </sheetView>
  </sheetViews>
  <sheetFormatPr defaultRowHeight="15"/>
  <cols>
    <col min="2" max="2" width="26.28515625" customWidth="1"/>
    <col min="3" max="3" width="22.5703125" customWidth="1"/>
    <col min="4" max="4" width="27" customWidth="1"/>
    <col min="5" max="5" width="87" customWidth="1"/>
  </cols>
  <sheetData>
    <row r="1" spans="2:6" ht="15.75" thickBot="1"/>
    <row r="2" spans="2:6" ht="15.75">
      <c r="B2" s="25" t="s">
        <v>103</v>
      </c>
      <c r="C2" s="26" t="s">
        <v>104</v>
      </c>
      <c r="D2" s="26" t="s">
        <v>105</v>
      </c>
      <c r="E2" s="26" t="s">
        <v>106</v>
      </c>
    </row>
    <row r="3" spans="2:6" ht="21.75" customHeight="1">
      <c r="B3" s="27" t="s">
        <v>107</v>
      </c>
      <c r="C3" s="28" t="s">
        <v>108</v>
      </c>
      <c r="D3" s="28"/>
      <c r="E3" s="60" t="s">
        <v>109</v>
      </c>
    </row>
    <row r="4" spans="2:6" ht="25.5" customHeight="1">
      <c r="B4" s="27" t="s">
        <v>110</v>
      </c>
      <c r="C4" s="28" t="s">
        <v>108</v>
      </c>
      <c r="D4" s="28" t="s">
        <v>111</v>
      </c>
      <c r="E4" s="59" t="s">
        <v>112</v>
      </c>
    </row>
    <row r="5" spans="2:6" ht="25.5" customHeight="1">
      <c r="B5" s="27" t="s">
        <v>113</v>
      </c>
      <c r="C5" s="28" t="s">
        <v>108</v>
      </c>
      <c r="D5" s="28" t="s">
        <v>114</v>
      </c>
      <c r="E5" s="61" t="s">
        <v>115</v>
      </c>
    </row>
    <row r="6" spans="2:6" ht="25.5" customHeight="1">
      <c r="B6" s="27" t="s">
        <v>116</v>
      </c>
      <c r="C6" s="28" t="s">
        <v>108</v>
      </c>
      <c r="D6" s="28" t="s">
        <v>117</v>
      </c>
      <c r="E6" s="61" t="s">
        <v>118</v>
      </c>
    </row>
    <row r="7" spans="2:6" ht="30.75" customHeight="1">
      <c r="B7" s="27" t="s">
        <v>119</v>
      </c>
      <c r="C7" s="28" t="s">
        <v>108</v>
      </c>
      <c r="D7" s="28" t="s">
        <v>120</v>
      </c>
      <c r="E7" s="61" t="s">
        <v>121</v>
      </c>
    </row>
    <row r="8" spans="2:6" ht="37.5" customHeight="1">
      <c r="B8" s="27" t="s">
        <v>122</v>
      </c>
      <c r="C8" s="28" t="s">
        <v>108</v>
      </c>
      <c r="D8" s="29" t="s">
        <v>123</v>
      </c>
      <c r="E8" s="61" t="s">
        <v>124</v>
      </c>
      <c r="F8" s="86"/>
    </row>
    <row r="9" spans="2:6" ht="39.75" customHeight="1">
      <c r="B9" s="27" t="s">
        <v>125</v>
      </c>
      <c r="C9" s="28" t="s">
        <v>108</v>
      </c>
      <c r="D9" s="28" t="s">
        <v>126</v>
      </c>
      <c r="E9" s="62" t="s">
        <v>127</v>
      </c>
    </row>
    <row r="10" spans="2:6" ht="39.75" customHeight="1">
      <c r="B10" s="27" t="s">
        <v>128</v>
      </c>
      <c r="C10" s="28" t="s">
        <v>108</v>
      </c>
      <c r="D10" s="28" t="s">
        <v>129</v>
      </c>
      <c r="E10" s="61" t="s">
        <v>130</v>
      </c>
      <c r="F10" t="s">
        <v>131</v>
      </c>
    </row>
    <row r="11" spans="2:6" ht="33.75" customHeight="1">
      <c r="B11" s="27" t="s">
        <v>132</v>
      </c>
      <c r="C11" s="28" t="s">
        <v>108</v>
      </c>
      <c r="D11" s="28" t="s">
        <v>133</v>
      </c>
      <c r="E11" s="60" t="s">
        <v>134</v>
      </c>
      <c r="F11" s="86"/>
    </row>
    <row r="12" spans="2:6" ht="21.75" customHeight="1">
      <c r="B12" s="27" t="s">
        <v>135</v>
      </c>
      <c r="C12" s="28" t="s">
        <v>108</v>
      </c>
      <c r="D12" s="28" t="s">
        <v>136</v>
      </c>
      <c r="E12" s="60" t="s">
        <v>137</v>
      </c>
      <c r="F12" s="86"/>
    </row>
    <row r="13" spans="2:6" ht="26.25" customHeight="1">
      <c r="B13" s="27" t="s">
        <v>138</v>
      </c>
      <c r="C13" s="28" t="s">
        <v>139</v>
      </c>
      <c r="D13" s="28" t="s">
        <v>140</v>
      </c>
      <c r="E13" s="60" t="s">
        <v>141</v>
      </c>
      <c r="F13" s="86"/>
    </row>
    <row r="14" spans="2:6" ht="27" customHeight="1">
      <c r="B14" s="27" t="s">
        <v>142</v>
      </c>
      <c r="C14" s="28" t="s">
        <v>139</v>
      </c>
      <c r="D14" s="28" t="s">
        <v>143</v>
      </c>
      <c r="E14" s="60" t="s">
        <v>144</v>
      </c>
    </row>
    <row r="15" spans="2:6" ht="21.75" customHeight="1">
      <c r="B15" s="27" t="s">
        <v>145</v>
      </c>
      <c r="C15" s="28" t="s">
        <v>139</v>
      </c>
      <c r="D15" s="28" t="s">
        <v>146</v>
      </c>
      <c r="E15" s="60" t="s">
        <v>147</v>
      </c>
    </row>
    <row r="16" spans="2:6" ht="27.75" customHeight="1">
      <c r="B16" s="27" t="s">
        <v>148</v>
      </c>
      <c r="C16" s="28" t="s">
        <v>139</v>
      </c>
      <c r="D16" s="28" t="s">
        <v>149</v>
      </c>
      <c r="E16" s="60" t="s">
        <v>150</v>
      </c>
    </row>
    <row r="17" spans="2:5" ht="26.25" customHeight="1">
      <c r="B17" s="27" t="s">
        <v>151</v>
      </c>
      <c r="C17" s="28" t="s">
        <v>139</v>
      </c>
      <c r="D17" s="28" t="s">
        <v>152</v>
      </c>
      <c r="E17" s="60" t="s">
        <v>153</v>
      </c>
    </row>
    <row r="18" spans="2:5" ht="25.5" customHeight="1">
      <c r="B18" s="27" t="s">
        <v>154</v>
      </c>
      <c r="C18" s="28" t="s">
        <v>139</v>
      </c>
      <c r="D18" s="28" t="s">
        <v>155</v>
      </c>
      <c r="E18" s="60" t="s">
        <v>156</v>
      </c>
    </row>
    <row r="19" spans="2:5" ht="21.75" customHeight="1">
      <c r="B19" s="27" t="s">
        <v>157</v>
      </c>
      <c r="C19" s="28" t="s">
        <v>158</v>
      </c>
      <c r="D19" s="28" t="s">
        <v>159</v>
      </c>
      <c r="E19" s="63" t="s">
        <v>160</v>
      </c>
    </row>
    <row r="20" spans="2:5" ht="22.5" customHeight="1">
      <c r="B20" s="27" t="s">
        <v>161</v>
      </c>
      <c r="C20" s="28" t="s">
        <v>158</v>
      </c>
      <c r="D20" s="28" t="s">
        <v>162</v>
      </c>
      <c r="E20" s="63" t="s">
        <v>160</v>
      </c>
    </row>
    <row r="21" spans="2:5" ht="27.75" customHeight="1">
      <c r="B21" s="27" t="s">
        <v>163</v>
      </c>
      <c r="C21" s="28" t="s">
        <v>158</v>
      </c>
      <c r="D21" s="28" t="s">
        <v>164</v>
      </c>
      <c r="E21" s="63" t="s">
        <v>160</v>
      </c>
    </row>
    <row r="22" spans="2:5" ht="24" customHeight="1">
      <c r="B22" s="27" t="s">
        <v>165</v>
      </c>
      <c r="C22" s="28" t="s">
        <v>158</v>
      </c>
      <c r="D22" s="28" t="s">
        <v>166</v>
      </c>
      <c r="E22" s="63" t="s">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96"/>
  <sheetViews>
    <sheetView topLeftCell="A24" zoomScale="130" zoomScaleNormal="130" workbookViewId="0">
      <selection activeCell="C57" sqref="C57"/>
    </sheetView>
  </sheetViews>
  <sheetFormatPr defaultRowHeight="23.25" customHeight="1"/>
  <cols>
    <col min="1" max="1" width="16.7109375" customWidth="1"/>
    <col min="2" max="2" width="18.7109375" customWidth="1"/>
    <col min="3" max="3" width="96" customWidth="1"/>
    <col min="4" max="4" width="4.85546875" hidden="1" customWidth="1"/>
    <col min="5" max="5" width="4.42578125" hidden="1" customWidth="1"/>
    <col min="6" max="6" width="5.7109375" hidden="1" customWidth="1"/>
    <col min="7" max="7" width="11.42578125" customWidth="1"/>
    <col min="8" max="8" width="14.42578125" customWidth="1"/>
    <col min="9" max="9" width="12.140625" customWidth="1"/>
    <col min="10" max="10" width="0" hidden="1" customWidth="1"/>
    <col min="11" max="11" width="12.5703125" customWidth="1"/>
    <col min="12" max="12" width="10.5703125" hidden="1" customWidth="1"/>
  </cols>
  <sheetData>
    <row r="1" spans="1:12" ht="29.25" customHeight="1">
      <c r="A1" s="33" t="s">
        <v>48</v>
      </c>
      <c r="B1" s="34" t="s">
        <v>50</v>
      </c>
      <c r="C1" s="34" t="s">
        <v>167</v>
      </c>
      <c r="D1" s="34" t="s">
        <v>168</v>
      </c>
      <c r="E1" s="34" t="s">
        <v>169</v>
      </c>
      <c r="F1" s="34" t="s">
        <v>170</v>
      </c>
      <c r="G1" s="34" t="s">
        <v>171</v>
      </c>
      <c r="H1" s="34" t="s">
        <v>172</v>
      </c>
      <c r="I1" s="34" t="s">
        <v>173</v>
      </c>
      <c r="J1" s="35" t="s">
        <v>174</v>
      </c>
      <c r="K1" s="36" t="s">
        <v>175</v>
      </c>
      <c r="L1" s="36" t="s">
        <v>176</v>
      </c>
    </row>
    <row r="2" spans="1:12" ht="23.25" customHeight="1">
      <c r="A2" s="68" t="s">
        <v>177</v>
      </c>
      <c r="B2" s="65" t="s">
        <v>178</v>
      </c>
      <c r="C2" s="69" t="s">
        <v>179</v>
      </c>
      <c r="D2" s="65"/>
      <c r="E2" s="65"/>
      <c r="F2" s="70"/>
      <c r="G2" s="70" t="s">
        <v>108</v>
      </c>
      <c r="H2" s="70" t="s">
        <v>116</v>
      </c>
      <c r="I2" s="71"/>
      <c r="J2" s="72"/>
      <c r="K2" s="71"/>
      <c r="L2" s="71"/>
    </row>
    <row r="3" spans="1:12" ht="23.25" customHeight="1">
      <c r="A3" s="68" t="s">
        <v>180</v>
      </c>
      <c r="B3" s="64" t="s">
        <v>181</v>
      </c>
      <c r="C3" s="73" t="s">
        <v>182</v>
      </c>
      <c r="D3" s="74" t="s">
        <v>183</v>
      </c>
      <c r="E3" s="74" t="s">
        <v>184</v>
      </c>
      <c r="F3" s="74">
        <v>3</v>
      </c>
      <c r="G3" s="70" t="s">
        <v>108</v>
      </c>
      <c r="H3" s="70" t="s">
        <v>113</v>
      </c>
      <c r="I3" s="75"/>
      <c r="J3" s="76" t="s">
        <v>77</v>
      </c>
      <c r="K3" s="66"/>
      <c r="L3" s="75" t="s">
        <v>43</v>
      </c>
    </row>
    <row r="4" spans="1:12" ht="23.25" customHeight="1">
      <c r="A4" s="68" t="s">
        <v>185</v>
      </c>
      <c r="B4" s="64" t="s">
        <v>181</v>
      </c>
      <c r="C4" s="73" t="s">
        <v>186</v>
      </c>
      <c r="D4" s="74"/>
      <c r="E4" s="74"/>
      <c r="F4" s="74"/>
      <c r="G4" s="70" t="s">
        <v>108</v>
      </c>
      <c r="H4" s="70" t="s">
        <v>113</v>
      </c>
      <c r="I4" s="74"/>
      <c r="J4" s="77"/>
      <c r="K4" s="64"/>
      <c r="L4" s="74"/>
    </row>
    <row r="5" spans="1:12" ht="23.25" customHeight="1">
      <c r="A5" s="68" t="s">
        <v>187</v>
      </c>
      <c r="B5" s="64" t="s">
        <v>188</v>
      </c>
      <c r="C5" s="73" t="s">
        <v>189</v>
      </c>
      <c r="D5" s="74"/>
      <c r="E5" s="74"/>
      <c r="F5" s="74"/>
      <c r="G5" s="70" t="s">
        <v>108</v>
      </c>
      <c r="H5" s="70" t="s">
        <v>122</v>
      </c>
      <c r="I5" s="75"/>
      <c r="J5" s="76"/>
      <c r="K5" s="75"/>
      <c r="L5" s="75"/>
    </row>
    <row r="6" spans="1:12" ht="23.25" customHeight="1">
      <c r="A6" s="68" t="s">
        <v>190</v>
      </c>
      <c r="B6" s="64" t="s">
        <v>191</v>
      </c>
      <c r="C6" s="73" t="s">
        <v>192</v>
      </c>
      <c r="D6" s="74"/>
      <c r="E6" s="74"/>
      <c r="F6" s="74"/>
      <c r="G6" s="70" t="s">
        <v>108</v>
      </c>
      <c r="H6" s="70" t="s">
        <v>119</v>
      </c>
      <c r="I6" s="75"/>
      <c r="J6" s="76"/>
      <c r="K6" s="75"/>
      <c r="L6" s="75"/>
    </row>
    <row r="7" spans="1:12" ht="23.25" customHeight="1">
      <c r="A7" s="68" t="s">
        <v>193</v>
      </c>
      <c r="B7" s="64" t="s">
        <v>194</v>
      </c>
      <c r="C7" s="73" t="s">
        <v>195</v>
      </c>
      <c r="D7" s="74"/>
      <c r="E7" s="74"/>
      <c r="F7" s="74"/>
      <c r="G7" s="70" t="s">
        <v>108</v>
      </c>
      <c r="H7" s="70" t="s">
        <v>142</v>
      </c>
      <c r="I7" s="74"/>
      <c r="J7" s="77"/>
      <c r="K7" s="74"/>
      <c r="L7" s="74"/>
    </row>
    <row r="8" spans="1:12" ht="23.25" customHeight="1">
      <c r="A8" s="68" t="s">
        <v>196</v>
      </c>
      <c r="B8" s="64" t="s">
        <v>197</v>
      </c>
      <c r="C8" s="73" t="s">
        <v>198</v>
      </c>
      <c r="D8" s="74"/>
      <c r="E8" s="74"/>
      <c r="F8" s="74"/>
      <c r="G8" s="70" t="s">
        <v>108</v>
      </c>
      <c r="H8" s="70" t="s">
        <v>142</v>
      </c>
      <c r="I8" s="74"/>
      <c r="J8" s="77"/>
      <c r="K8" s="74"/>
      <c r="L8" s="74"/>
    </row>
    <row r="9" spans="1:12" ht="23.25" customHeight="1">
      <c r="A9" s="68" t="s">
        <v>199</v>
      </c>
      <c r="B9" s="64" t="s">
        <v>200</v>
      </c>
      <c r="C9" s="73" t="s">
        <v>201</v>
      </c>
      <c r="D9" s="74"/>
      <c r="E9" s="74"/>
      <c r="F9" s="74"/>
      <c r="G9" s="70" t="s">
        <v>108</v>
      </c>
      <c r="H9" s="70"/>
      <c r="I9" s="74"/>
      <c r="J9" s="77"/>
      <c r="K9" s="74"/>
      <c r="L9" s="74"/>
    </row>
    <row r="10" spans="1:12" ht="23.25" customHeight="1">
      <c r="A10" s="68" t="s">
        <v>202</v>
      </c>
      <c r="B10" s="64" t="s">
        <v>203</v>
      </c>
      <c r="C10" s="73" t="s">
        <v>204</v>
      </c>
      <c r="D10" s="74"/>
      <c r="E10" s="74"/>
      <c r="F10" s="74"/>
      <c r="G10" s="70" t="s">
        <v>108</v>
      </c>
      <c r="H10" s="70"/>
      <c r="I10" s="74"/>
      <c r="J10" s="77"/>
      <c r="K10" s="74"/>
      <c r="L10" s="74"/>
    </row>
    <row r="11" spans="1:12" ht="23.25" customHeight="1">
      <c r="A11" s="68" t="s">
        <v>205</v>
      </c>
      <c r="B11" s="64" t="s">
        <v>126</v>
      </c>
      <c r="C11" s="73" t="s">
        <v>206</v>
      </c>
      <c r="D11" s="74"/>
      <c r="E11" s="74"/>
      <c r="F11" s="74"/>
      <c r="G11" s="70" t="s">
        <v>108</v>
      </c>
      <c r="H11" s="70"/>
      <c r="I11" s="74"/>
      <c r="J11" s="77"/>
      <c r="K11" s="74"/>
      <c r="L11" s="74"/>
    </row>
    <row r="12" spans="1:12" ht="23.25" customHeight="1">
      <c r="A12" s="68" t="s">
        <v>207</v>
      </c>
      <c r="B12" s="64"/>
      <c r="C12" s="73" t="s">
        <v>208</v>
      </c>
      <c r="D12" s="74"/>
      <c r="E12" s="74"/>
      <c r="F12" s="74"/>
      <c r="G12" s="70" t="s">
        <v>108</v>
      </c>
      <c r="H12" s="70"/>
      <c r="I12" s="74"/>
      <c r="J12" s="77"/>
      <c r="K12" s="74"/>
      <c r="L12" s="74"/>
    </row>
    <row r="13" spans="1:12" ht="23.25" customHeight="1">
      <c r="A13" s="68" t="s">
        <v>209</v>
      </c>
      <c r="B13" s="64"/>
      <c r="C13" s="73" t="s">
        <v>210</v>
      </c>
      <c r="D13" s="74"/>
      <c r="E13" s="74"/>
      <c r="F13" s="74"/>
      <c r="G13" s="70" t="s">
        <v>108</v>
      </c>
      <c r="H13" s="70"/>
      <c r="I13" s="74"/>
      <c r="J13" s="77"/>
      <c r="K13" s="74"/>
      <c r="L13" s="74"/>
    </row>
    <row r="14" spans="1:12" ht="23.25" customHeight="1">
      <c r="A14" s="68" t="s">
        <v>211</v>
      </c>
      <c r="B14" s="64"/>
      <c r="C14" s="73" t="s">
        <v>212</v>
      </c>
      <c r="D14" s="74"/>
      <c r="E14" s="74"/>
      <c r="F14" s="74"/>
      <c r="G14" s="70" t="s">
        <v>108</v>
      </c>
      <c r="H14" s="70"/>
      <c r="I14" s="74"/>
      <c r="J14" s="77"/>
      <c r="K14" s="74"/>
      <c r="L14" s="74"/>
    </row>
    <row r="15" spans="1:12" ht="23.25" customHeight="1">
      <c r="A15" s="68" t="s">
        <v>213</v>
      </c>
      <c r="B15" s="64"/>
      <c r="C15" s="73" t="s">
        <v>214</v>
      </c>
      <c r="D15" s="74"/>
      <c r="E15" s="74"/>
      <c r="F15" s="74"/>
      <c r="G15" s="70" t="s">
        <v>108</v>
      </c>
      <c r="H15" s="70"/>
      <c r="I15" s="74"/>
      <c r="J15" s="77"/>
      <c r="K15" s="74"/>
      <c r="L15" s="74"/>
    </row>
    <row r="16" spans="1:12" ht="23.25" customHeight="1">
      <c r="A16" s="68" t="s">
        <v>215</v>
      </c>
      <c r="B16" s="64"/>
      <c r="C16" s="73" t="s">
        <v>216</v>
      </c>
      <c r="D16" s="74"/>
      <c r="E16" s="74"/>
      <c r="F16" s="74"/>
      <c r="G16" s="70" t="s">
        <v>108</v>
      </c>
      <c r="H16" s="70"/>
      <c r="I16" s="74"/>
      <c r="J16" s="77"/>
      <c r="K16" s="74"/>
      <c r="L16" s="74"/>
    </row>
    <row r="17" spans="1:12" ht="23.25" customHeight="1">
      <c r="A17" s="68" t="s">
        <v>217</v>
      </c>
      <c r="B17" s="64"/>
      <c r="C17" s="73" t="s">
        <v>218</v>
      </c>
      <c r="D17" s="74"/>
      <c r="E17" s="74"/>
      <c r="F17" s="74"/>
      <c r="G17" s="78" t="s">
        <v>219</v>
      </c>
      <c r="H17" s="78"/>
      <c r="I17" s="74"/>
      <c r="J17" s="77"/>
      <c r="K17" s="74"/>
      <c r="L17" s="74"/>
    </row>
    <row r="18" spans="1:12" ht="23.25" customHeight="1">
      <c r="A18" s="68" t="s">
        <v>220</v>
      </c>
      <c r="B18" s="64"/>
      <c r="C18" s="88" t="s">
        <v>221</v>
      </c>
      <c r="D18" s="74"/>
      <c r="E18" s="74"/>
      <c r="F18" s="74"/>
      <c r="G18" s="78" t="s">
        <v>219</v>
      </c>
      <c r="H18" s="74"/>
      <c r="I18" s="75"/>
      <c r="J18" s="79" t="s">
        <v>77</v>
      </c>
      <c r="K18" s="75"/>
      <c r="L18" s="75"/>
    </row>
    <row r="19" spans="1:12" ht="23.25" customHeight="1">
      <c r="A19" s="68" t="s">
        <v>222</v>
      </c>
      <c r="B19" s="64"/>
      <c r="C19" s="88" t="s">
        <v>223</v>
      </c>
      <c r="D19" s="74"/>
      <c r="E19" s="74"/>
      <c r="F19" s="74"/>
      <c r="G19" s="78" t="s">
        <v>219</v>
      </c>
      <c r="H19" s="74"/>
      <c r="I19" s="74"/>
      <c r="J19" s="77"/>
      <c r="K19" s="74"/>
      <c r="L19" s="74"/>
    </row>
    <row r="20" spans="1:12" ht="23.25" customHeight="1">
      <c r="A20" s="68" t="s">
        <v>224</v>
      </c>
      <c r="B20" s="64"/>
      <c r="C20" s="88" t="s">
        <v>225</v>
      </c>
      <c r="D20" s="74"/>
      <c r="E20" s="74"/>
      <c r="F20" s="74"/>
      <c r="G20" s="87" t="s">
        <v>139</v>
      </c>
      <c r="H20" s="74"/>
      <c r="I20" s="74"/>
      <c r="J20" s="77"/>
      <c r="K20" s="74"/>
      <c r="L20" s="74"/>
    </row>
    <row r="21" spans="1:12" ht="23.25" customHeight="1">
      <c r="A21" s="68" t="s">
        <v>226</v>
      </c>
      <c r="B21" s="64"/>
      <c r="C21" s="88" t="s">
        <v>227</v>
      </c>
      <c r="D21" s="74"/>
      <c r="E21" s="74"/>
      <c r="F21" s="74"/>
      <c r="G21" s="87" t="s">
        <v>139</v>
      </c>
      <c r="H21" s="74"/>
      <c r="I21" s="75"/>
      <c r="J21" s="76"/>
      <c r="K21" s="75"/>
      <c r="L21" s="80"/>
    </row>
    <row r="22" spans="1:12" ht="23.25" customHeight="1">
      <c r="A22" s="68" t="s">
        <v>228</v>
      </c>
      <c r="B22" s="64"/>
      <c r="C22" s="88" t="s">
        <v>229</v>
      </c>
      <c r="D22" s="74"/>
      <c r="E22" s="74"/>
      <c r="F22" s="74"/>
      <c r="G22" s="78" t="s">
        <v>219</v>
      </c>
      <c r="H22" s="74"/>
      <c r="I22" s="74"/>
      <c r="J22" s="77"/>
      <c r="K22" s="74"/>
      <c r="L22" s="81"/>
    </row>
    <row r="23" spans="1:12" ht="23.25" customHeight="1">
      <c r="A23" s="68" t="s">
        <v>230</v>
      </c>
      <c r="B23" s="64"/>
      <c r="C23" s="88" t="s">
        <v>231</v>
      </c>
      <c r="D23" s="74"/>
      <c r="E23" s="74"/>
      <c r="F23" s="74"/>
      <c r="G23" s="78" t="s">
        <v>219</v>
      </c>
      <c r="H23" s="74"/>
      <c r="I23" s="74"/>
      <c r="J23" s="77"/>
      <c r="K23" s="74"/>
      <c r="L23" s="81"/>
    </row>
    <row r="24" spans="1:12" ht="23.25" customHeight="1">
      <c r="A24" s="68" t="s">
        <v>232</v>
      </c>
      <c r="B24" s="64" t="s">
        <v>233</v>
      </c>
      <c r="C24" s="89" t="s">
        <v>234</v>
      </c>
      <c r="D24" s="74"/>
      <c r="E24" s="74"/>
      <c r="F24" s="74"/>
      <c r="G24" s="87" t="s">
        <v>139</v>
      </c>
      <c r="H24" s="74"/>
      <c r="I24" s="74"/>
      <c r="J24" s="77"/>
      <c r="K24" s="74"/>
      <c r="L24" s="81"/>
    </row>
    <row r="25" spans="1:12" ht="23.25" customHeight="1">
      <c r="A25" s="68" t="s">
        <v>235</v>
      </c>
      <c r="B25" s="64" t="s">
        <v>233</v>
      </c>
      <c r="C25" s="89" t="s">
        <v>236</v>
      </c>
      <c r="D25" s="74"/>
      <c r="E25" s="74"/>
      <c r="F25" s="74"/>
      <c r="G25" s="74" t="s">
        <v>139</v>
      </c>
      <c r="H25" s="74"/>
      <c r="I25" s="75"/>
      <c r="J25" s="76"/>
      <c r="K25" s="75"/>
      <c r="L25" s="75"/>
    </row>
    <row r="26" spans="1:12" ht="23.25" customHeight="1">
      <c r="A26" s="68" t="s">
        <v>237</v>
      </c>
      <c r="B26" s="64" t="s">
        <v>238</v>
      </c>
      <c r="C26" s="64" t="s">
        <v>239</v>
      </c>
      <c r="D26" s="74" t="s">
        <v>240</v>
      </c>
      <c r="E26" s="74" t="s">
        <v>184</v>
      </c>
      <c r="F26" s="74"/>
      <c r="G26" s="74" t="s">
        <v>139</v>
      </c>
      <c r="H26" s="74"/>
      <c r="I26" s="75"/>
      <c r="J26" s="76" t="s">
        <v>241</v>
      </c>
      <c r="K26" s="75"/>
      <c r="L26" s="75" t="s">
        <v>37</v>
      </c>
    </row>
    <row r="27" spans="1:12" ht="23.25" customHeight="1">
      <c r="A27" s="68" t="s">
        <v>242</v>
      </c>
      <c r="B27" s="64" t="s">
        <v>238</v>
      </c>
      <c r="C27" s="64" t="s">
        <v>243</v>
      </c>
      <c r="D27" s="74" t="s">
        <v>240</v>
      </c>
      <c r="E27" s="74" t="s">
        <v>184</v>
      </c>
      <c r="F27" s="74"/>
      <c r="G27" s="74" t="s">
        <v>139</v>
      </c>
      <c r="H27" s="74"/>
      <c r="I27" s="75"/>
      <c r="J27" s="76" t="s">
        <v>241</v>
      </c>
      <c r="K27" s="75"/>
      <c r="L27" s="75" t="s">
        <v>37</v>
      </c>
    </row>
    <row r="28" spans="1:12" ht="23.25" customHeight="1">
      <c r="A28" s="68" t="s">
        <v>244</v>
      </c>
      <c r="B28" s="64" t="s">
        <v>238</v>
      </c>
      <c r="C28" s="64" t="s">
        <v>245</v>
      </c>
      <c r="D28" s="74" t="s">
        <v>240</v>
      </c>
      <c r="E28" s="74" t="s">
        <v>184</v>
      </c>
      <c r="F28" s="74"/>
      <c r="G28" s="74" t="s">
        <v>139</v>
      </c>
      <c r="H28" s="74"/>
      <c r="I28" s="75"/>
      <c r="J28" s="76"/>
      <c r="K28" s="75"/>
      <c r="L28" s="75"/>
    </row>
    <row r="29" spans="1:12" ht="23.25" customHeight="1">
      <c r="A29" s="68" t="s">
        <v>246</v>
      </c>
      <c r="B29" s="64" t="s">
        <v>238</v>
      </c>
      <c r="C29" s="64" t="s">
        <v>247</v>
      </c>
      <c r="D29" s="74" t="s">
        <v>240</v>
      </c>
      <c r="E29" s="74" t="s">
        <v>184</v>
      </c>
      <c r="F29" s="74"/>
      <c r="G29" s="74" t="s">
        <v>139</v>
      </c>
      <c r="H29" s="74"/>
      <c r="I29" s="75"/>
      <c r="J29" s="76"/>
      <c r="K29" s="75"/>
      <c r="L29" s="75"/>
    </row>
    <row r="30" spans="1:12" ht="23.25" customHeight="1">
      <c r="A30" s="68" t="s">
        <v>248</v>
      </c>
      <c r="B30" s="64" t="s">
        <v>238</v>
      </c>
      <c r="C30" s="64" t="s">
        <v>249</v>
      </c>
      <c r="D30" s="74"/>
      <c r="E30" s="74"/>
      <c r="F30" s="74"/>
      <c r="G30" s="74" t="s">
        <v>139</v>
      </c>
      <c r="H30" s="74"/>
      <c r="I30" s="75"/>
      <c r="J30" s="76"/>
      <c r="K30" s="75"/>
      <c r="L30" s="75"/>
    </row>
    <row r="31" spans="1:12" ht="23.25" customHeight="1">
      <c r="A31" s="68" t="s">
        <v>250</v>
      </c>
      <c r="B31" s="64" t="s">
        <v>238</v>
      </c>
      <c r="C31" s="64" t="s">
        <v>251</v>
      </c>
      <c r="D31" s="74"/>
      <c r="E31" s="74"/>
      <c r="F31" s="74"/>
      <c r="G31" s="74" t="s">
        <v>139</v>
      </c>
      <c r="H31" s="74"/>
      <c r="I31" s="75"/>
      <c r="J31" s="76"/>
      <c r="K31" s="75"/>
      <c r="L31" s="75"/>
    </row>
    <row r="32" spans="1:12" ht="23.25" customHeight="1">
      <c r="A32" s="68" t="s">
        <v>252</v>
      </c>
      <c r="B32" s="64" t="s">
        <v>238</v>
      </c>
      <c r="C32" s="64" t="s">
        <v>253</v>
      </c>
      <c r="D32" s="74"/>
      <c r="E32" s="74"/>
      <c r="F32" s="74"/>
      <c r="G32" s="74" t="s">
        <v>139</v>
      </c>
      <c r="H32" s="74"/>
      <c r="I32" s="75"/>
      <c r="J32" s="76"/>
      <c r="K32" s="75"/>
      <c r="L32" s="75"/>
    </row>
    <row r="33" spans="1:12" ht="23.25" customHeight="1">
      <c r="A33" s="68" t="s">
        <v>254</v>
      </c>
      <c r="B33" s="64" t="s">
        <v>255</v>
      </c>
      <c r="C33" s="64" t="s">
        <v>256</v>
      </c>
      <c r="D33" s="74"/>
      <c r="E33" s="74"/>
      <c r="F33" s="74"/>
      <c r="G33" s="74" t="s">
        <v>158</v>
      </c>
      <c r="H33" s="75"/>
      <c r="I33" s="75"/>
      <c r="J33" s="76"/>
      <c r="K33" s="75"/>
      <c r="L33" s="75"/>
    </row>
    <row r="34" spans="1:12" ht="23.25" customHeight="1">
      <c r="A34" s="68" t="s">
        <v>257</v>
      </c>
      <c r="B34" s="64" t="s">
        <v>258</v>
      </c>
      <c r="C34" s="64" t="s">
        <v>259</v>
      </c>
      <c r="D34" s="74" t="s">
        <v>240</v>
      </c>
      <c r="E34" s="74" t="s">
        <v>260</v>
      </c>
      <c r="F34" s="74">
        <v>1</v>
      </c>
      <c r="G34" s="74" t="s">
        <v>158</v>
      </c>
      <c r="H34" s="75"/>
      <c r="I34" s="75"/>
      <c r="J34" s="76"/>
      <c r="K34" s="75"/>
      <c r="L34" s="75"/>
    </row>
    <row r="35" spans="1:12" ht="23.25" customHeight="1">
      <c r="A35" s="68" t="s">
        <v>261</v>
      </c>
      <c r="B35" s="64" t="s">
        <v>262</v>
      </c>
      <c r="C35" s="64" t="s">
        <v>263</v>
      </c>
      <c r="D35" s="74" t="s">
        <v>183</v>
      </c>
      <c r="E35" s="74" t="s">
        <v>184</v>
      </c>
      <c r="F35" s="74">
        <v>1</v>
      </c>
      <c r="G35" s="74" t="s">
        <v>158</v>
      </c>
      <c r="H35" s="75"/>
      <c r="I35" s="75"/>
      <c r="J35" s="76"/>
      <c r="K35" s="75"/>
      <c r="L35" s="75"/>
    </row>
    <row r="36" spans="1:12" ht="23.25" customHeight="1">
      <c r="A36" s="68" t="s">
        <v>264</v>
      </c>
      <c r="B36" s="64" t="s">
        <v>265</v>
      </c>
      <c r="C36" s="64" t="s">
        <v>266</v>
      </c>
      <c r="D36" s="74" t="s">
        <v>240</v>
      </c>
      <c r="E36" s="74"/>
      <c r="F36" s="74"/>
      <c r="G36" s="74" t="s">
        <v>158</v>
      </c>
      <c r="H36" s="75"/>
      <c r="I36" s="75"/>
      <c r="J36" s="76"/>
      <c r="K36" s="75"/>
      <c r="L36" s="75"/>
    </row>
    <row r="37" spans="1:12" ht="23.25" customHeight="1">
      <c r="A37" s="68" t="s">
        <v>267</v>
      </c>
      <c r="B37" s="64" t="s">
        <v>268</v>
      </c>
      <c r="C37" s="64" t="s">
        <v>269</v>
      </c>
      <c r="D37" s="64" t="s">
        <v>270</v>
      </c>
      <c r="E37" s="74"/>
      <c r="F37" s="74"/>
      <c r="G37" s="87" t="s">
        <v>270</v>
      </c>
      <c r="H37" s="75"/>
      <c r="I37" s="75"/>
      <c r="J37" s="76"/>
      <c r="K37" s="75"/>
      <c r="L37" s="75"/>
    </row>
    <row r="38" spans="1:12" ht="23.25" customHeight="1">
      <c r="A38" s="68" t="s">
        <v>271</v>
      </c>
      <c r="B38" s="64" t="s">
        <v>272</v>
      </c>
      <c r="C38" s="64" t="s">
        <v>273</v>
      </c>
      <c r="D38" s="64" t="s">
        <v>270</v>
      </c>
      <c r="E38" s="74"/>
      <c r="F38" s="74"/>
      <c r="G38" s="74" t="s">
        <v>270</v>
      </c>
      <c r="H38" s="75"/>
      <c r="I38" s="75"/>
      <c r="J38" s="75"/>
      <c r="K38" s="75"/>
      <c r="L38" s="75"/>
    </row>
    <row r="39" spans="1:12" ht="23.25" customHeight="1">
      <c r="A39" s="68" t="s">
        <v>274</v>
      </c>
      <c r="B39" s="64" t="s">
        <v>275</v>
      </c>
      <c r="C39" s="64" t="s">
        <v>276</v>
      </c>
      <c r="D39" s="64" t="s">
        <v>270</v>
      </c>
      <c r="E39" s="74"/>
      <c r="F39" s="74"/>
      <c r="G39" s="87" t="s">
        <v>270</v>
      </c>
      <c r="H39" s="75"/>
      <c r="I39" s="75"/>
      <c r="J39" s="75"/>
      <c r="K39" s="75"/>
      <c r="L39" s="75"/>
    </row>
    <row r="40" spans="1:12" ht="23.25" customHeight="1">
      <c r="A40" s="68" t="s">
        <v>277</v>
      </c>
      <c r="B40" s="73" t="s">
        <v>278</v>
      </c>
      <c r="C40" s="64" t="s">
        <v>279</v>
      </c>
      <c r="D40" s="82" t="s">
        <v>270</v>
      </c>
      <c r="E40" s="74"/>
      <c r="F40" s="74"/>
      <c r="G40" s="74" t="s">
        <v>270</v>
      </c>
      <c r="H40" s="75"/>
      <c r="I40" s="75"/>
      <c r="J40" s="75"/>
      <c r="K40" s="75"/>
      <c r="L40" s="75"/>
    </row>
    <row r="41" spans="1:12" ht="23.25" customHeight="1">
      <c r="A41" s="68" t="s">
        <v>280</v>
      </c>
      <c r="B41" s="67"/>
      <c r="C41" s="88" t="s">
        <v>281</v>
      </c>
      <c r="D41" s="75" t="s">
        <v>240</v>
      </c>
      <c r="E41" s="83"/>
      <c r="F41" s="83"/>
      <c r="G41" s="83" t="s">
        <v>282</v>
      </c>
      <c r="H41" s="83"/>
      <c r="I41" s="83"/>
      <c r="J41" s="75"/>
      <c r="K41" s="75"/>
      <c r="L41" s="75"/>
    </row>
    <row r="42" spans="1:12" ht="23.25" customHeight="1">
      <c r="A42" s="68" t="s">
        <v>283</v>
      </c>
      <c r="B42" s="67"/>
      <c r="C42" s="88" t="s">
        <v>284</v>
      </c>
      <c r="D42" s="83"/>
      <c r="E42" s="83"/>
      <c r="F42" s="83"/>
      <c r="G42" s="83" t="s">
        <v>282</v>
      </c>
      <c r="H42" s="83"/>
      <c r="I42" s="83"/>
      <c r="J42" s="79"/>
      <c r="K42" s="85"/>
      <c r="L42" s="85"/>
    </row>
    <row r="43" spans="1:12" ht="23.25" customHeight="1">
      <c r="A43" s="68" t="s">
        <v>285</v>
      </c>
      <c r="B43" s="67"/>
      <c r="C43" s="88" t="s">
        <v>286</v>
      </c>
      <c r="D43" s="83"/>
      <c r="E43" s="83"/>
      <c r="F43" s="83"/>
      <c r="G43" s="83" t="s">
        <v>282</v>
      </c>
      <c r="H43" s="83"/>
      <c r="I43" s="83"/>
      <c r="J43" s="79"/>
      <c r="K43" s="85"/>
      <c r="L43" s="90"/>
    </row>
    <row r="44" spans="1:12" ht="23.25" customHeight="1">
      <c r="A44" s="68" t="s">
        <v>287</v>
      </c>
      <c r="B44" s="67"/>
      <c r="C44" s="88" t="s">
        <v>288</v>
      </c>
      <c r="D44" s="83"/>
      <c r="E44" s="83"/>
      <c r="F44" s="83"/>
      <c r="G44" s="83" t="s">
        <v>282</v>
      </c>
      <c r="H44" s="83"/>
      <c r="I44" s="83"/>
      <c r="J44" s="79"/>
      <c r="K44" s="85"/>
      <c r="L44" s="90"/>
    </row>
    <row r="45" spans="1:12" ht="23.25" customHeight="1">
      <c r="A45" s="68" t="s">
        <v>289</v>
      </c>
      <c r="B45" s="67"/>
      <c r="C45" s="88" t="s">
        <v>290</v>
      </c>
      <c r="D45" s="83"/>
      <c r="E45" s="83"/>
      <c r="F45" s="83"/>
      <c r="G45" s="83" t="s">
        <v>282</v>
      </c>
      <c r="H45" s="83"/>
      <c r="I45" s="83"/>
      <c r="J45" s="79"/>
      <c r="K45" s="85"/>
      <c r="L45" s="90"/>
    </row>
    <row r="46" spans="1:12" ht="23.25" customHeight="1">
      <c r="A46" s="68" t="s">
        <v>291</v>
      </c>
      <c r="B46" s="67"/>
      <c r="C46" s="88" t="s">
        <v>292</v>
      </c>
      <c r="D46" s="83"/>
      <c r="E46" s="83"/>
      <c r="F46" s="83"/>
      <c r="G46" s="83" t="s">
        <v>282</v>
      </c>
      <c r="H46" s="83"/>
      <c r="I46" s="83"/>
      <c r="J46" s="79"/>
      <c r="K46" s="85"/>
      <c r="L46" s="90"/>
    </row>
    <row r="47" spans="1:12" ht="23.25" customHeight="1">
      <c r="A47" s="68" t="s">
        <v>293</v>
      </c>
      <c r="B47" s="67"/>
      <c r="C47" s="88" t="s">
        <v>294</v>
      </c>
      <c r="D47" s="83"/>
      <c r="E47" s="83"/>
      <c r="F47" s="83"/>
      <c r="G47" s="83" t="s">
        <v>282</v>
      </c>
      <c r="H47" s="83"/>
      <c r="I47" s="83"/>
      <c r="J47" s="79"/>
      <c r="K47" s="85"/>
      <c r="L47" s="90"/>
    </row>
    <row r="48" spans="1:12" ht="23.25" customHeight="1">
      <c r="A48" s="68" t="s">
        <v>295</v>
      </c>
      <c r="B48" s="67"/>
      <c r="C48" s="88" t="s">
        <v>296</v>
      </c>
      <c r="D48" s="83"/>
      <c r="E48" s="83"/>
      <c r="F48" s="83"/>
      <c r="G48" s="83" t="s">
        <v>282</v>
      </c>
      <c r="H48" s="83"/>
      <c r="I48" s="83"/>
      <c r="J48" s="79"/>
      <c r="K48" s="85"/>
      <c r="L48" s="90"/>
    </row>
    <row r="49" spans="1:12" ht="23.25" customHeight="1">
      <c r="A49" s="68" t="s">
        <v>297</v>
      </c>
      <c r="B49" s="67"/>
      <c r="C49" s="88" t="s">
        <v>298</v>
      </c>
      <c r="D49" s="83"/>
      <c r="E49" s="83"/>
      <c r="F49" s="83"/>
      <c r="G49" s="83" t="s">
        <v>282</v>
      </c>
      <c r="H49" s="83"/>
      <c r="I49" s="83"/>
      <c r="J49" s="79"/>
      <c r="K49" s="85"/>
      <c r="L49" s="90"/>
    </row>
    <row r="50" spans="1:12" ht="23.25" customHeight="1">
      <c r="A50" s="68" t="s">
        <v>299</v>
      </c>
      <c r="B50" s="67"/>
      <c r="C50" s="88" t="s">
        <v>300</v>
      </c>
      <c r="D50" s="83"/>
      <c r="E50" s="83"/>
      <c r="F50" s="83"/>
      <c r="G50" s="83" t="s">
        <v>282</v>
      </c>
      <c r="H50" s="83"/>
      <c r="I50" s="83"/>
      <c r="J50" s="79"/>
      <c r="K50" s="85"/>
      <c r="L50" s="90"/>
    </row>
    <row r="51" spans="1:12" ht="23.25" customHeight="1">
      <c r="A51" s="68" t="s">
        <v>301</v>
      </c>
      <c r="B51" s="67"/>
      <c r="C51" s="88" t="s">
        <v>302</v>
      </c>
      <c r="D51" s="83"/>
      <c r="E51" s="83"/>
      <c r="F51" s="83"/>
      <c r="G51" s="83" t="s">
        <v>282</v>
      </c>
      <c r="H51" s="83"/>
      <c r="I51" s="83"/>
      <c r="J51" s="79"/>
      <c r="K51" s="85"/>
      <c r="L51" s="90"/>
    </row>
    <row r="52" spans="1:12" ht="23.25" customHeight="1">
      <c r="A52" s="68" t="s">
        <v>303</v>
      </c>
      <c r="B52" s="67"/>
      <c r="C52" s="88" t="s">
        <v>304</v>
      </c>
      <c r="D52" s="83"/>
      <c r="E52" s="83"/>
      <c r="F52" s="83"/>
      <c r="G52" s="83" t="s">
        <v>282</v>
      </c>
      <c r="H52" s="83"/>
      <c r="I52" s="83"/>
      <c r="J52" s="79"/>
      <c r="K52" s="85"/>
      <c r="L52" s="90"/>
    </row>
    <row r="53" spans="1:12" ht="23.25" customHeight="1">
      <c r="A53" s="84"/>
      <c r="B53" s="67"/>
      <c r="C53" s="91"/>
      <c r="D53" s="83"/>
      <c r="E53" s="83"/>
      <c r="F53" s="83"/>
      <c r="G53" s="83"/>
      <c r="H53" s="83"/>
      <c r="I53" s="83"/>
      <c r="J53" s="79"/>
      <c r="K53" s="85"/>
      <c r="L53" s="90"/>
    </row>
    <row r="54" spans="1:12" ht="23.25" customHeight="1">
      <c r="A54" s="84"/>
      <c r="B54" s="67"/>
      <c r="C54" s="67"/>
      <c r="D54" s="83"/>
      <c r="E54" s="83"/>
      <c r="F54" s="83"/>
      <c r="G54" s="83"/>
      <c r="H54" s="83"/>
      <c r="I54" s="83"/>
      <c r="J54" s="79"/>
      <c r="K54" s="85"/>
      <c r="L54" s="90"/>
    </row>
    <row r="55" spans="1:12" ht="23.25" customHeight="1">
      <c r="A55" s="84"/>
      <c r="B55" s="67"/>
      <c r="C55" s="67"/>
      <c r="D55" s="83"/>
      <c r="E55" s="83"/>
      <c r="F55" s="83"/>
      <c r="G55" s="83"/>
      <c r="H55" s="83"/>
      <c r="I55" s="83"/>
      <c r="J55" s="79"/>
      <c r="K55" s="85"/>
      <c r="L55" s="90"/>
    </row>
    <row r="56" spans="1:12" ht="23.25" customHeight="1">
      <c r="A56" s="84"/>
      <c r="B56" s="67"/>
      <c r="C56" s="67"/>
      <c r="D56" s="83"/>
      <c r="E56" s="83"/>
      <c r="F56" s="83"/>
      <c r="G56" s="83"/>
      <c r="H56" s="83"/>
      <c r="I56" s="83"/>
      <c r="J56" s="79"/>
      <c r="K56" s="85"/>
      <c r="L56" s="90"/>
    </row>
    <row r="57" spans="1:12" ht="23.25" customHeight="1">
      <c r="A57" s="84"/>
      <c r="B57" s="67"/>
      <c r="C57" s="67"/>
      <c r="D57" s="83"/>
      <c r="E57" s="83"/>
      <c r="F57" s="83"/>
      <c r="G57" s="83"/>
      <c r="H57" s="83"/>
      <c r="I57" s="83"/>
      <c r="J57" s="79"/>
      <c r="K57" s="85"/>
      <c r="L57" s="90"/>
    </row>
    <row r="58" spans="1:12" ht="23.25" customHeight="1">
      <c r="A58" s="84"/>
      <c r="B58" s="67"/>
      <c r="C58" s="67"/>
      <c r="D58" s="83"/>
      <c r="E58" s="83"/>
      <c r="F58" s="83"/>
      <c r="G58" s="83"/>
      <c r="H58" s="83"/>
      <c r="I58" s="83"/>
      <c r="J58" s="79"/>
      <c r="K58" s="85"/>
      <c r="L58" s="90"/>
    </row>
    <row r="59" spans="1:12" ht="23.25" customHeight="1">
      <c r="A59" s="84"/>
      <c r="B59" s="67"/>
      <c r="C59" s="67"/>
      <c r="D59" s="83"/>
      <c r="E59" s="83"/>
      <c r="F59" s="83"/>
      <c r="G59" s="83"/>
      <c r="H59" s="83"/>
      <c r="I59" s="83"/>
      <c r="J59" s="79"/>
      <c r="K59" s="85"/>
      <c r="L59" s="90"/>
    </row>
    <row r="60" spans="1:12" ht="23.25" customHeight="1">
      <c r="A60" s="84"/>
      <c r="B60" s="67"/>
      <c r="C60" s="67"/>
      <c r="D60" s="83"/>
      <c r="E60" s="83"/>
      <c r="F60" s="83"/>
      <c r="G60" s="83"/>
      <c r="H60" s="83"/>
      <c r="I60" s="83"/>
      <c r="J60" s="79"/>
      <c r="K60" s="85"/>
      <c r="L60" s="90"/>
    </row>
    <row r="61" spans="1:12" ht="23.25" customHeight="1">
      <c r="A61" s="84"/>
      <c r="B61" s="67"/>
      <c r="C61" s="67"/>
      <c r="D61" s="83"/>
      <c r="E61" s="83"/>
      <c r="F61" s="83"/>
      <c r="G61" s="83"/>
      <c r="H61" s="83"/>
      <c r="I61" s="83"/>
      <c r="J61" s="79"/>
      <c r="K61" s="85"/>
      <c r="L61" s="90"/>
    </row>
    <row r="62" spans="1:12" ht="23.25" customHeight="1">
      <c r="A62" s="84"/>
      <c r="B62" s="67"/>
      <c r="C62" s="67"/>
      <c r="D62" s="83"/>
      <c r="E62" s="83"/>
      <c r="F62" s="83"/>
      <c r="G62" s="83"/>
      <c r="H62" s="83"/>
      <c r="I62" s="83"/>
      <c r="J62" s="79"/>
      <c r="K62" s="85"/>
      <c r="L62" s="90"/>
    </row>
    <row r="63" spans="1:12" ht="23.25" customHeight="1">
      <c r="A63" s="84"/>
      <c r="B63" s="67"/>
      <c r="C63" s="67"/>
      <c r="D63" s="83"/>
      <c r="E63" s="83"/>
      <c r="F63" s="83"/>
      <c r="G63" s="83"/>
      <c r="H63" s="83"/>
      <c r="I63" s="83"/>
      <c r="J63" s="79"/>
      <c r="K63" s="85"/>
      <c r="L63" s="90"/>
    </row>
    <row r="64" spans="1:12" ht="23.25" customHeight="1">
      <c r="A64" s="84"/>
      <c r="B64" s="67"/>
      <c r="C64" s="67"/>
      <c r="D64" s="83"/>
      <c r="E64" s="83"/>
      <c r="F64" s="83"/>
      <c r="G64" s="83"/>
      <c r="H64" s="83"/>
      <c r="I64" s="83"/>
      <c r="J64" s="79"/>
      <c r="K64" s="85"/>
      <c r="L64" s="90"/>
    </row>
    <row r="65" spans="1:12" ht="23.25" customHeight="1">
      <c r="A65" s="84"/>
      <c r="B65" s="67"/>
      <c r="C65" s="67"/>
      <c r="D65" s="83"/>
      <c r="E65" s="83"/>
      <c r="F65" s="83"/>
      <c r="G65" s="83"/>
      <c r="H65" s="83"/>
      <c r="I65" s="83"/>
      <c r="J65" s="79"/>
      <c r="K65" s="85"/>
      <c r="L65" s="90"/>
    </row>
    <row r="66" spans="1:12" ht="23.25" customHeight="1">
      <c r="A66" s="84"/>
      <c r="B66" s="67"/>
      <c r="C66" s="67"/>
      <c r="D66" s="83"/>
      <c r="E66" s="83"/>
      <c r="F66" s="83"/>
      <c r="G66" s="83"/>
      <c r="H66" s="83"/>
      <c r="I66" s="83"/>
      <c r="J66" s="79"/>
      <c r="K66" s="85"/>
      <c r="L66" s="90"/>
    </row>
    <row r="67" spans="1:12" ht="23.25" customHeight="1">
      <c r="A67" s="84"/>
      <c r="B67" s="67"/>
      <c r="C67" s="67"/>
      <c r="D67" s="83"/>
      <c r="E67" s="83"/>
      <c r="F67" s="83"/>
      <c r="G67" s="83"/>
      <c r="H67" s="83"/>
      <c r="I67" s="83"/>
      <c r="J67" s="79"/>
      <c r="K67" s="85"/>
      <c r="L67" s="90"/>
    </row>
    <row r="68" spans="1:12" ht="23.25" customHeight="1">
      <c r="A68" s="84"/>
      <c r="B68" s="67"/>
      <c r="C68" s="67"/>
      <c r="D68" s="83"/>
      <c r="E68" s="83"/>
      <c r="F68" s="83"/>
      <c r="G68" s="83"/>
      <c r="H68" s="83"/>
      <c r="I68" s="83"/>
      <c r="J68" s="79"/>
      <c r="K68" s="85"/>
      <c r="L68" s="90"/>
    </row>
    <row r="69" spans="1:12" ht="23.25" customHeight="1">
      <c r="A69" s="84"/>
      <c r="B69" s="67"/>
      <c r="C69" s="67"/>
      <c r="D69" s="83"/>
      <c r="E69" s="83"/>
      <c r="F69" s="83"/>
      <c r="G69" s="83"/>
      <c r="H69" s="83"/>
      <c r="I69" s="83"/>
      <c r="J69" s="79"/>
      <c r="K69" s="85"/>
      <c r="L69" s="90"/>
    </row>
    <row r="70" spans="1:12" ht="23.25" customHeight="1">
      <c r="A70" s="84"/>
      <c r="B70" s="67"/>
      <c r="C70" s="67"/>
      <c r="D70" s="83"/>
      <c r="E70" s="83"/>
      <c r="F70" s="83"/>
      <c r="G70" s="83"/>
      <c r="H70" s="83"/>
      <c r="I70" s="83"/>
      <c r="J70" s="79"/>
      <c r="K70" s="85"/>
      <c r="L70" s="90"/>
    </row>
    <row r="71" spans="1:12" ht="23.25" customHeight="1">
      <c r="A71" s="84"/>
      <c r="B71" s="67"/>
      <c r="C71" s="67"/>
      <c r="D71" s="83"/>
      <c r="E71" s="83"/>
      <c r="F71" s="83"/>
      <c r="G71" s="83"/>
      <c r="H71" s="83"/>
      <c r="I71" s="83"/>
      <c r="J71" s="79"/>
      <c r="K71" s="85"/>
      <c r="L71" s="90"/>
    </row>
    <row r="72" spans="1:12" ht="23.25" customHeight="1">
      <c r="A72" s="84"/>
      <c r="B72" s="67"/>
      <c r="C72" s="67"/>
      <c r="D72" s="83"/>
      <c r="E72" s="83"/>
      <c r="F72" s="83"/>
      <c r="G72" s="83"/>
      <c r="H72" s="83"/>
      <c r="I72" s="83"/>
      <c r="J72" s="79"/>
      <c r="K72" s="85"/>
      <c r="L72" s="90"/>
    </row>
    <row r="73" spans="1:12" ht="23.25" customHeight="1">
      <c r="A73" s="84"/>
      <c r="B73" s="67"/>
      <c r="C73" s="67"/>
      <c r="D73" s="83"/>
      <c r="E73" s="83"/>
      <c r="F73" s="83"/>
      <c r="G73" s="83"/>
      <c r="H73" s="83"/>
      <c r="I73" s="83"/>
      <c r="J73" s="79"/>
      <c r="K73" s="85"/>
      <c r="L73" s="90"/>
    </row>
    <row r="74" spans="1:12" ht="23.25" customHeight="1">
      <c r="A74" s="84"/>
      <c r="B74" s="67"/>
      <c r="C74" s="67"/>
      <c r="D74" s="83"/>
      <c r="E74" s="83"/>
      <c r="F74" s="83"/>
      <c r="G74" s="83"/>
      <c r="H74" s="83"/>
      <c r="I74" s="83"/>
      <c r="J74" s="79"/>
      <c r="K74" s="85"/>
      <c r="L74" s="90"/>
    </row>
    <row r="75" spans="1:12" ht="23.25" customHeight="1">
      <c r="A75" s="84"/>
      <c r="B75" s="67"/>
      <c r="C75" s="67"/>
      <c r="D75" s="83"/>
      <c r="E75" s="83"/>
      <c r="F75" s="83"/>
      <c r="G75" s="83"/>
      <c r="H75" s="83"/>
      <c r="I75" s="83"/>
      <c r="J75" s="79"/>
      <c r="K75" s="85"/>
      <c r="L75" s="90"/>
    </row>
    <row r="76" spans="1:12" ht="23.25" customHeight="1">
      <c r="A76" s="84"/>
      <c r="B76" s="67"/>
      <c r="C76" s="67"/>
      <c r="D76" s="83"/>
      <c r="E76" s="83"/>
      <c r="F76" s="83"/>
      <c r="G76" s="83"/>
      <c r="H76" s="83"/>
      <c r="I76" s="83"/>
      <c r="J76" s="79"/>
      <c r="K76" s="85"/>
      <c r="L76" s="90"/>
    </row>
    <row r="77" spans="1:12" ht="23.25" customHeight="1">
      <c r="A77" s="84"/>
      <c r="B77" s="67"/>
      <c r="C77" s="67"/>
      <c r="D77" s="83"/>
      <c r="E77" s="83"/>
      <c r="F77" s="83"/>
      <c r="G77" s="83"/>
      <c r="H77" s="83"/>
      <c r="I77" s="83"/>
      <c r="J77" s="79"/>
      <c r="K77" s="85"/>
      <c r="L77" s="90"/>
    </row>
    <row r="78" spans="1:12" ht="23.25" customHeight="1">
      <c r="A78" s="84"/>
      <c r="B78" s="67"/>
      <c r="C78" s="67"/>
      <c r="D78" s="83"/>
      <c r="E78" s="83"/>
      <c r="F78" s="83"/>
      <c r="G78" s="83"/>
      <c r="H78" s="83"/>
      <c r="I78" s="83"/>
      <c r="J78" s="79"/>
      <c r="K78" s="85"/>
      <c r="L78" s="90"/>
    </row>
    <row r="79" spans="1:12" ht="23.25" customHeight="1">
      <c r="A79" s="84"/>
      <c r="B79" s="67"/>
      <c r="C79" s="67"/>
      <c r="D79" s="83"/>
      <c r="E79" s="83"/>
      <c r="F79" s="83"/>
      <c r="G79" s="83"/>
      <c r="H79" s="83"/>
      <c r="I79" s="83"/>
      <c r="J79" s="79"/>
      <c r="K79" s="85"/>
      <c r="L79" s="90"/>
    </row>
    <row r="80" spans="1:12" ht="23.25" customHeight="1">
      <c r="A80" s="84"/>
      <c r="B80" s="67"/>
      <c r="C80" s="67"/>
      <c r="D80" s="83"/>
      <c r="E80" s="83"/>
      <c r="F80" s="83"/>
      <c r="G80" s="83"/>
      <c r="H80" s="83"/>
      <c r="I80" s="83"/>
      <c r="J80" s="79"/>
      <c r="K80" s="85"/>
      <c r="L80" s="90"/>
    </row>
    <row r="81" spans="1:12" ht="23.25" customHeight="1">
      <c r="A81" s="84"/>
      <c r="B81" s="67"/>
      <c r="C81" s="67"/>
      <c r="D81" s="83"/>
      <c r="E81" s="83"/>
      <c r="F81" s="83"/>
      <c r="G81" s="83"/>
      <c r="H81" s="83"/>
      <c r="I81" s="83"/>
      <c r="J81" s="79"/>
      <c r="K81" s="85"/>
      <c r="L81" s="90"/>
    </row>
    <row r="82" spans="1:12" ht="23.25" customHeight="1">
      <c r="A82" s="84"/>
      <c r="B82" s="67"/>
      <c r="C82" s="67"/>
      <c r="D82" s="83"/>
      <c r="E82" s="83"/>
      <c r="F82" s="83"/>
      <c r="G82" s="83"/>
      <c r="H82" s="83"/>
      <c r="I82" s="83"/>
      <c r="J82" s="79"/>
      <c r="K82" s="85"/>
      <c r="L82" s="90"/>
    </row>
    <row r="83" spans="1:12" ht="23.25" customHeight="1">
      <c r="A83" s="84"/>
      <c r="B83" s="67"/>
      <c r="C83" s="67"/>
      <c r="D83" s="83"/>
      <c r="E83" s="83"/>
      <c r="F83" s="83"/>
      <c r="G83" s="83"/>
      <c r="H83" s="83"/>
      <c r="I83" s="83"/>
      <c r="J83" s="79"/>
      <c r="K83" s="85"/>
      <c r="L83" s="90"/>
    </row>
    <row r="84" spans="1:12" ht="23.25" customHeight="1">
      <c r="A84" s="84"/>
      <c r="B84" s="67"/>
      <c r="C84" s="67"/>
      <c r="D84" s="83"/>
      <c r="E84" s="83"/>
      <c r="F84" s="83"/>
      <c r="G84" s="83"/>
      <c r="H84" s="83"/>
      <c r="I84" s="83"/>
      <c r="J84" s="79"/>
      <c r="K84" s="85"/>
      <c r="L84" s="90"/>
    </row>
    <row r="85" spans="1:12" ht="23.25" customHeight="1">
      <c r="A85" s="84"/>
      <c r="B85" s="67"/>
      <c r="C85" s="67"/>
      <c r="D85" s="83"/>
      <c r="E85" s="83"/>
      <c r="F85" s="83"/>
      <c r="G85" s="83"/>
      <c r="H85" s="83"/>
      <c r="I85" s="83"/>
      <c r="J85" s="79"/>
      <c r="K85" s="85"/>
      <c r="L85" s="90"/>
    </row>
    <row r="86" spans="1:12" ht="23.25" customHeight="1">
      <c r="A86" s="84"/>
      <c r="B86" s="67"/>
      <c r="C86" s="67"/>
      <c r="D86" s="83"/>
      <c r="E86" s="83"/>
      <c r="F86" s="83"/>
      <c r="G86" s="83"/>
      <c r="H86" s="83"/>
      <c r="I86" s="83"/>
      <c r="J86" s="79"/>
      <c r="K86" s="85"/>
      <c r="L86" s="90"/>
    </row>
    <row r="87" spans="1:12" ht="23.25" customHeight="1">
      <c r="A87" s="84"/>
      <c r="B87" s="67"/>
      <c r="C87" s="67"/>
      <c r="D87" s="83"/>
      <c r="E87" s="83"/>
      <c r="F87" s="83"/>
      <c r="G87" s="83"/>
      <c r="H87" s="83"/>
      <c r="I87" s="83"/>
      <c r="J87" s="79"/>
      <c r="K87" s="85"/>
      <c r="L87" s="90"/>
    </row>
    <row r="88" spans="1:12" ht="23.25" customHeight="1">
      <c r="A88" s="84"/>
      <c r="B88" s="67"/>
      <c r="C88" s="67"/>
      <c r="D88" s="83"/>
      <c r="E88" s="83"/>
      <c r="F88" s="83"/>
      <c r="G88" s="83"/>
      <c r="H88" s="83"/>
      <c r="I88" s="83"/>
      <c r="J88" s="79"/>
      <c r="K88" s="85"/>
      <c r="L88" s="90"/>
    </row>
    <row r="89" spans="1:12" ht="23.25" customHeight="1">
      <c r="A89" s="84"/>
      <c r="B89" s="67"/>
      <c r="C89" s="67"/>
      <c r="D89" s="83"/>
      <c r="E89" s="83"/>
      <c r="F89" s="83"/>
      <c r="G89" s="83"/>
      <c r="H89" s="83"/>
      <c r="I89" s="83"/>
      <c r="J89" s="79"/>
      <c r="K89" s="85"/>
      <c r="L89" s="90"/>
    </row>
    <row r="90" spans="1:12" ht="23.25" customHeight="1">
      <c r="A90" s="84"/>
      <c r="B90" s="67"/>
      <c r="C90" s="67"/>
      <c r="D90" s="83"/>
      <c r="E90" s="83"/>
      <c r="F90" s="83"/>
      <c r="G90" s="83"/>
      <c r="H90" s="83"/>
      <c r="I90" s="83"/>
      <c r="J90" s="79"/>
      <c r="K90" s="85"/>
      <c r="L90" s="90"/>
    </row>
    <row r="91" spans="1:12" ht="23.25" customHeight="1">
      <c r="A91" s="84"/>
      <c r="B91" s="67"/>
      <c r="C91" s="67"/>
      <c r="D91" s="83"/>
      <c r="E91" s="83"/>
      <c r="F91" s="83"/>
      <c r="G91" s="83"/>
      <c r="H91" s="83"/>
      <c r="I91" s="83"/>
      <c r="J91" s="79"/>
      <c r="K91" s="85"/>
      <c r="L91" s="90"/>
    </row>
    <row r="92" spans="1:12" ht="23.25" customHeight="1">
      <c r="A92" s="84"/>
      <c r="B92" s="67"/>
      <c r="C92" s="67"/>
      <c r="D92" s="83"/>
      <c r="E92" s="83"/>
      <c r="F92" s="83"/>
      <c r="G92" s="83"/>
      <c r="H92" s="83"/>
      <c r="I92" s="83"/>
      <c r="J92" s="79"/>
      <c r="K92" s="85"/>
      <c r="L92" s="90"/>
    </row>
    <row r="93" spans="1:12" ht="23.25" customHeight="1">
      <c r="A93" s="84"/>
      <c r="B93" s="67"/>
      <c r="C93" s="67"/>
      <c r="D93" s="83"/>
      <c r="E93" s="83"/>
      <c r="F93" s="83"/>
      <c r="G93" s="83"/>
      <c r="H93" s="83"/>
      <c r="I93" s="83"/>
      <c r="J93" s="79"/>
      <c r="K93" s="85"/>
      <c r="L93" s="90"/>
    </row>
    <row r="94" spans="1:12" ht="23.25" customHeight="1">
      <c r="A94" s="84"/>
      <c r="B94" s="67"/>
      <c r="C94" s="67"/>
      <c r="D94" s="83"/>
      <c r="E94" s="83"/>
      <c r="F94" s="83"/>
      <c r="G94" s="83"/>
      <c r="H94" s="83"/>
      <c r="I94" s="83"/>
      <c r="J94" s="79"/>
      <c r="K94" s="85"/>
      <c r="L94" s="90"/>
    </row>
    <row r="95" spans="1:12" ht="23.25" customHeight="1">
      <c r="A95" s="84"/>
      <c r="B95" s="67"/>
      <c r="C95" s="67"/>
      <c r="D95" s="83"/>
      <c r="E95" s="83"/>
      <c r="F95" s="83"/>
      <c r="G95" s="83"/>
      <c r="H95" s="83"/>
      <c r="I95" s="83"/>
      <c r="J95" s="79"/>
      <c r="K95" s="85"/>
      <c r="L95" s="90"/>
    </row>
    <row r="96" spans="1:12" ht="23.25" customHeight="1">
      <c r="A96" s="84"/>
      <c r="B96" s="67"/>
      <c r="C96" s="67"/>
      <c r="D96" s="83"/>
      <c r="E96" s="83"/>
      <c r="F96" s="83"/>
      <c r="G96" s="83"/>
      <c r="H96" s="83"/>
      <c r="I96" s="83"/>
      <c r="J96" s="79"/>
      <c r="K96" s="85"/>
      <c r="L96" s="90"/>
    </row>
    <row r="205" spans="2:3" ht="23.25" customHeight="1">
      <c r="B205" s="39"/>
      <c r="C205" s="40"/>
    </row>
    <row r="206" spans="2:3" ht="23.25" customHeight="1">
      <c r="B206" s="37" t="s">
        <v>305</v>
      </c>
      <c r="C206" s="38"/>
    </row>
    <row r="207" spans="2:3" ht="23.25" customHeight="1">
      <c r="B207" s="39" t="s">
        <v>306</v>
      </c>
      <c r="C207" s="40" t="s">
        <v>307</v>
      </c>
    </row>
    <row r="208" spans="2:3" ht="23.25" customHeight="1">
      <c r="B208" s="37" t="s">
        <v>308</v>
      </c>
      <c r="C208" s="38" t="s">
        <v>309</v>
      </c>
    </row>
    <row r="209" spans="2:3" ht="23.25" customHeight="1">
      <c r="B209" s="39" t="s">
        <v>310</v>
      </c>
      <c r="C209" s="40" t="s">
        <v>311</v>
      </c>
    </row>
    <row r="210" spans="2:3" ht="23.25" customHeight="1">
      <c r="B210" s="37" t="s">
        <v>312</v>
      </c>
      <c r="C210" s="38" t="s">
        <v>313</v>
      </c>
    </row>
    <row r="211" spans="2:3" ht="23.25" customHeight="1">
      <c r="B211" s="37" t="s">
        <v>314</v>
      </c>
      <c r="C211" s="38" t="s">
        <v>315</v>
      </c>
    </row>
    <row r="212" spans="2:3" ht="23.25" customHeight="1">
      <c r="B212" s="39" t="s">
        <v>316</v>
      </c>
      <c r="C212" s="40" t="s">
        <v>317</v>
      </c>
    </row>
    <row r="213" spans="2:3" ht="23.25" customHeight="1">
      <c r="B213" s="37"/>
      <c r="C213" s="41"/>
    </row>
    <row r="214" spans="2:3" ht="23.25" customHeight="1">
      <c r="B214" s="39"/>
      <c r="C214" s="42"/>
    </row>
    <row r="215" spans="2:3" ht="23.25" customHeight="1">
      <c r="B215" s="37" t="s">
        <v>318</v>
      </c>
      <c r="C215" s="38" t="s">
        <v>319</v>
      </c>
    </row>
    <row r="216" spans="2:3" ht="23.25" customHeight="1">
      <c r="B216" s="39" t="s">
        <v>320</v>
      </c>
      <c r="C216" s="40" t="s">
        <v>321</v>
      </c>
    </row>
    <row r="217" spans="2:3" ht="23.25" customHeight="1">
      <c r="B217" s="37" t="s">
        <v>322</v>
      </c>
      <c r="C217" s="38" t="s">
        <v>323</v>
      </c>
    </row>
    <row r="218" spans="2:3" ht="23.25" customHeight="1">
      <c r="B218" s="37" t="s">
        <v>324</v>
      </c>
      <c r="C218" s="38" t="s">
        <v>325</v>
      </c>
    </row>
    <row r="219" spans="2:3" ht="23.25" customHeight="1">
      <c r="B219" s="39" t="s">
        <v>326</v>
      </c>
      <c r="C219" s="40" t="s">
        <v>327</v>
      </c>
    </row>
    <row r="220" spans="2:3" ht="23.25" customHeight="1">
      <c r="B220" s="37" t="s">
        <v>328</v>
      </c>
      <c r="C220" s="38" t="s">
        <v>329</v>
      </c>
    </row>
    <row r="221" spans="2:3" ht="23.25" customHeight="1">
      <c r="B221" s="39" t="s">
        <v>330</v>
      </c>
      <c r="C221" s="40" t="s">
        <v>331</v>
      </c>
    </row>
    <row r="222" spans="2:3" ht="23.25" customHeight="1">
      <c r="B222" s="37" t="s">
        <v>332</v>
      </c>
      <c r="C222" s="38" t="s">
        <v>333</v>
      </c>
    </row>
    <row r="223" spans="2:3" ht="23.25" customHeight="1">
      <c r="B223" s="39" t="s">
        <v>334</v>
      </c>
      <c r="C223" s="40" t="s">
        <v>335</v>
      </c>
    </row>
    <row r="224" spans="2:3" ht="23.25" customHeight="1">
      <c r="B224" s="37" t="s">
        <v>336</v>
      </c>
      <c r="C224" s="38" t="s">
        <v>337</v>
      </c>
    </row>
    <row r="225" spans="2:3" ht="23.25" customHeight="1">
      <c r="B225" s="39" t="s">
        <v>338</v>
      </c>
      <c r="C225" s="40" t="s">
        <v>339</v>
      </c>
    </row>
    <row r="226" spans="2:3" ht="23.25" customHeight="1">
      <c r="B226" s="37" t="s">
        <v>340</v>
      </c>
      <c r="C226" s="38" t="s">
        <v>341</v>
      </c>
    </row>
    <row r="227" spans="2:3" ht="23.25" customHeight="1">
      <c r="B227" s="37" t="s">
        <v>342</v>
      </c>
      <c r="C227" s="38" t="s">
        <v>343</v>
      </c>
    </row>
    <row r="228" spans="2:3" ht="23.25" customHeight="1">
      <c r="B228" s="39" t="s">
        <v>344</v>
      </c>
      <c r="C228" s="40" t="s">
        <v>345</v>
      </c>
    </row>
    <row r="229" spans="2:3" ht="23.25" customHeight="1">
      <c r="B229" s="45" t="s">
        <v>346</v>
      </c>
    </row>
    <row r="230" spans="2:3" ht="23.25" customHeight="1">
      <c r="C230" s="43" t="s">
        <v>347</v>
      </c>
    </row>
    <row r="231" spans="2:3" ht="23.25" customHeight="1">
      <c r="C231" s="44" t="s">
        <v>348</v>
      </c>
    </row>
    <row r="232" spans="2:3" ht="23.25" customHeight="1">
      <c r="C232" s="43" t="s">
        <v>349</v>
      </c>
    </row>
    <row r="233" spans="2:3" ht="23.25" customHeight="1">
      <c r="C233" s="44" t="s">
        <v>350</v>
      </c>
    </row>
    <row r="234" spans="2:3" ht="23.25" customHeight="1">
      <c r="C234" s="44" t="s">
        <v>351</v>
      </c>
    </row>
    <row r="235" spans="2:3" ht="23.25" customHeight="1">
      <c r="C235" s="43" t="s">
        <v>352</v>
      </c>
    </row>
    <row r="236" spans="2:3" ht="23.25" customHeight="1">
      <c r="C236" s="44" t="s">
        <v>353</v>
      </c>
    </row>
    <row r="237" spans="2:3" ht="23.25" customHeight="1">
      <c r="C237" s="43" t="s">
        <v>354</v>
      </c>
    </row>
    <row r="238" spans="2:3" ht="23.25" customHeight="1">
      <c r="B238" t="s">
        <v>139</v>
      </c>
    </row>
    <row r="239" spans="2:3" ht="23.25" customHeight="1">
      <c r="C239" s="46" t="s">
        <v>355</v>
      </c>
    </row>
    <row r="240" spans="2:3" ht="23.25" customHeight="1">
      <c r="C240" s="47" t="s">
        <v>356</v>
      </c>
    </row>
    <row r="241" spans="2:3" ht="23.25" customHeight="1">
      <c r="C241" s="46" t="s">
        <v>357</v>
      </c>
    </row>
    <row r="242" spans="2:3" ht="23.25" customHeight="1">
      <c r="C242" s="41" t="s">
        <v>358</v>
      </c>
    </row>
    <row r="243" spans="2:3" ht="23.25" customHeight="1">
      <c r="C243" s="42" t="s">
        <v>359</v>
      </c>
    </row>
    <row r="244" spans="2:3" ht="23.25" customHeight="1">
      <c r="C244" s="42" t="s">
        <v>360</v>
      </c>
    </row>
    <row r="245" spans="2:3" ht="23.25" customHeight="1">
      <c r="B245" t="s">
        <v>361</v>
      </c>
    </row>
    <row r="246" spans="2:3" ht="23.25" customHeight="1">
      <c r="B246" s="48" t="s">
        <v>181</v>
      </c>
      <c r="C246" s="49" t="s">
        <v>362</v>
      </c>
    </row>
    <row r="247" spans="2:3" ht="23.25" customHeight="1">
      <c r="B247" s="50" t="s">
        <v>181</v>
      </c>
      <c r="C247" s="51" t="s">
        <v>363</v>
      </c>
    </row>
    <row r="248" spans="2:3" ht="23.25" customHeight="1">
      <c r="B248" s="52" t="s">
        <v>364</v>
      </c>
      <c r="C248" s="49" t="s">
        <v>365</v>
      </c>
    </row>
    <row r="249" spans="2:3" ht="23.25" customHeight="1">
      <c r="B249" s="53" t="s">
        <v>306</v>
      </c>
      <c r="C249" s="54" t="s">
        <v>366</v>
      </c>
    </row>
    <row r="250" spans="2:3" ht="23.25" customHeight="1">
      <c r="B250" s="52" t="s">
        <v>367</v>
      </c>
      <c r="C250" s="49" t="s">
        <v>368</v>
      </c>
    </row>
    <row r="251" spans="2:3" ht="23.25" customHeight="1">
      <c r="B251" s="53" t="s">
        <v>369</v>
      </c>
      <c r="C251" s="51" t="s">
        <v>370</v>
      </c>
    </row>
    <row r="252" spans="2:3" ht="23.25" customHeight="1">
      <c r="B252" s="52" t="s">
        <v>371</v>
      </c>
      <c r="C252" s="49" t="s">
        <v>372</v>
      </c>
    </row>
    <row r="253" spans="2:3" ht="23.25" customHeight="1">
      <c r="B253" s="53" t="s">
        <v>373</v>
      </c>
      <c r="C253" s="51" t="s">
        <v>374</v>
      </c>
    </row>
    <row r="254" spans="2:3" ht="23.25" customHeight="1">
      <c r="B254" s="52" t="s">
        <v>375</v>
      </c>
      <c r="C254" s="49" t="s">
        <v>376</v>
      </c>
    </row>
    <row r="255" spans="2:3" ht="23.25" customHeight="1">
      <c r="B255" s="53" t="s">
        <v>310</v>
      </c>
      <c r="C255" s="51" t="s">
        <v>377</v>
      </c>
    </row>
    <row r="256" spans="2:3" ht="23.25" customHeight="1">
      <c r="B256" s="52" t="s">
        <v>312</v>
      </c>
      <c r="C256" s="55" t="s">
        <v>378</v>
      </c>
    </row>
    <row r="257" spans="2:3" ht="23.25" customHeight="1">
      <c r="B257" s="53" t="s">
        <v>379</v>
      </c>
      <c r="C257" s="51" t="s">
        <v>380</v>
      </c>
    </row>
    <row r="258" spans="2:3" ht="23.25" customHeight="1">
      <c r="B258" s="52" t="s">
        <v>381</v>
      </c>
      <c r="C258" s="55" t="s">
        <v>382</v>
      </c>
    </row>
    <row r="259" spans="2:3" ht="23.25" customHeight="1">
      <c r="B259" s="53" t="s">
        <v>383</v>
      </c>
      <c r="C259" s="51" t="s">
        <v>384</v>
      </c>
    </row>
    <row r="260" spans="2:3" ht="23.25" customHeight="1">
      <c r="B260" s="52" t="s">
        <v>385</v>
      </c>
      <c r="C260" s="49" t="s">
        <v>386</v>
      </c>
    </row>
    <row r="261" spans="2:3" ht="23.25" customHeight="1">
      <c r="B261" s="50" t="s">
        <v>387</v>
      </c>
      <c r="C261" s="51" t="s">
        <v>388</v>
      </c>
    </row>
    <row r="262" spans="2:3" ht="23.25" customHeight="1">
      <c r="B262" s="52" t="s">
        <v>389</v>
      </c>
      <c r="C262" s="49" t="s">
        <v>390</v>
      </c>
    </row>
    <row r="263" spans="2:3" ht="23.25" customHeight="1">
      <c r="B263" s="53" t="s">
        <v>391</v>
      </c>
      <c r="C263" s="51" t="s">
        <v>392</v>
      </c>
    </row>
    <row r="264" spans="2:3" ht="23.25" customHeight="1">
      <c r="B264" s="56" t="s">
        <v>393</v>
      </c>
      <c r="C264" s="49" t="s">
        <v>394</v>
      </c>
    </row>
    <row r="265" spans="2:3" ht="23.25" customHeight="1">
      <c r="B265" s="53"/>
      <c r="C265" s="51"/>
    </row>
    <row r="266" spans="2:3" ht="23.25" customHeight="1">
      <c r="B266" s="48" t="s">
        <v>395</v>
      </c>
      <c r="C266" s="49" t="s">
        <v>396</v>
      </c>
    </row>
    <row r="267" spans="2:3" ht="23.25" customHeight="1">
      <c r="B267" s="50" t="s">
        <v>397</v>
      </c>
      <c r="C267" s="51" t="s">
        <v>398</v>
      </c>
    </row>
    <row r="268" spans="2:3" ht="23.25" customHeight="1">
      <c r="B268" s="48" t="s">
        <v>399</v>
      </c>
      <c r="C268" s="49" t="s">
        <v>400</v>
      </c>
    </row>
    <row r="269" spans="2:3" ht="23.25" customHeight="1">
      <c r="B269" s="50" t="s">
        <v>401</v>
      </c>
      <c r="C269" s="51" t="s">
        <v>402</v>
      </c>
    </row>
    <row r="270" spans="2:3" ht="23.25" customHeight="1">
      <c r="B270" s="48" t="s">
        <v>403</v>
      </c>
      <c r="C270" s="49" t="s">
        <v>404</v>
      </c>
    </row>
    <row r="271" spans="2:3" ht="23.25" customHeight="1">
      <c r="B271" s="53" t="s">
        <v>405</v>
      </c>
      <c r="C271" s="51" t="s">
        <v>406</v>
      </c>
    </row>
    <row r="272" spans="2:3" ht="23.25" customHeight="1">
      <c r="B272" s="52" t="s">
        <v>328</v>
      </c>
      <c r="C272" s="57" t="s">
        <v>407</v>
      </c>
    </row>
    <row r="273" spans="2:3" ht="23.25" customHeight="1">
      <c r="B273" s="53" t="s">
        <v>328</v>
      </c>
      <c r="C273" s="51" t="s">
        <v>408</v>
      </c>
    </row>
    <row r="274" spans="2:3" ht="23.25" customHeight="1">
      <c r="B274" s="52" t="s">
        <v>409</v>
      </c>
      <c r="C274" s="57" t="s">
        <v>410</v>
      </c>
    </row>
    <row r="275" spans="2:3" ht="23.25" customHeight="1">
      <c r="B275" s="53" t="s">
        <v>411</v>
      </c>
      <c r="C275" s="54" t="s">
        <v>412</v>
      </c>
    </row>
    <row r="276" spans="2:3" ht="23.25" customHeight="1">
      <c r="B276" s="52" t="s">
        <v>413</v>
      </c>
      <c r="C276" s="57" t="s">
        <v>414</v>
      </c>
    </row>
    <row r="277" spans="2:3" ht="23.25" customHeight="1">
      <c r="B277" s="53" t="s">
        <v>415</v>
      </c>
      <c r="C277" s="54" t="s">
        <v>416</v>
      </c>
    </row>
    <row r="278" spans="2:3" ht="23.25" customHeight="1">
      <c r="B278" s="52"/>
      <c r="C278" s="49"/>
    </row>
    <row r="279" spans="2:3" ht="23.25" customHeight="1">
      <c r="B279" s="50" t="s">
        <v>417</v>
      </c>
      <c r="C279" s="54" t="s">
        <v>418</v>
      </c>
    </row>
    <row r="280" spans="2:3" ht="23.25" customHeight="1">
      <c r="B280" s="48" t="s">
        <v>419</v>
      </c>
      <c r="C280" s="57" t="s">
        <v>420</v>
      </c>
    </row>
    <row r="281" spans="2:3" ht="23.25" customHeight="1">
      <c r="B281" s="50" t="s">
        <v>334</v>
      </c>
      <c r="C281" s="54" t="s">
        <v>421</v>
      </c>
    </row>
    <row r="282" spans="2:3" ht="23.25" customHeight="1">
      <c r="B282" s="48" t="s">
        <v>422</v>
      </c>
      <c r="C282" s="57" t="s">
        <v>423</v>
      </c>
    </row>
    <row r="283" spans="2:3" ht="23.25" customHeight="1">
      <c r="B283" s="50" t="s">
        <v>424</v>
      </c>
      <c r="C283" s="58" t="s">
        <v>425</v>
      </c>
    </row>
    <row r="284" spans="2:3" ht="23.25" customHeight="1">
      <c r="B284" s="48" t="s">
        <v>340</v>
      </c>
      <c r="C284" s="55" t="s">
        <v>426</v>
      </c>
    </row>
    <row r="285" spans="2:3" ht="23.25" customHeight="1">
      <c r="B285" s="50" t="s">
        <v>427</v>
      </c>
      <c r="C285" s="54" t="s">
        <v>428</v>
      </c>
    </row>
    <row r="286" spans="2:3" ht="23.25" customHeight="1">
      <c r="B286" s="48" t="s">
        <v>429</v>
      </c>
      <c r="C286" s="57" t="s">
        <v>430</v>
      </c>
    </row>
    <row r="287" spans="2:3" ht="23.25" customHeight="1">
      <c r="B287" s="50" t="s">
        <v>431</v>
      </c>
      <c r="C287" s="58" t="s">
        <v>432</v>
      </c>
    </row>
    <row r="288" spans="2:3" ht="23.25" customHeight="1">
      <c r="B288" s="52" t="s">
        <v>433</v>
      </c>
      <c r="C288" s="57" t="s">
        <v>434</v>
      </c>
    </row>
    <row r="289" spans="2:3" ht="23.25" customHeight="1">
      <c r="B289" s="53" t="s">
        <v>435</v>
      </c>
      <c r="C289" s="58" t="s">
        <v>436</v>
      </c>
    </row>
    <row r="290" spans="2:3" ht="23.25" customHeight="1">
      <c r="B290" s="52" t="s">
        <v>437</v>
      </c>
      <c r="C290" s="55" t="s">
        <v>438</v>
      </c>
    </row>
    <row r="291" spans="2:3" ht="23.25" customHeight="1">
      <c r="B291" s="53" t="s">
        <v>439</v>
      </c>
      <c r="C291" s="58" t="s">
        <v>440</v>
      </c>
    </row>
    <row r="292" spans="2:3" ht="23.25" customHeight="1">
      <c r="B292" s="52" t="s">
        <v>441</v>
      </c>
      <c r="C292" s="55" t="s">
        <v>442</v>
      </c>
    </row>
    <row r="293" spans="2:3" ht="23.25" customHeight="1">
      <c r="B293" s="53" t="s">
        <v>443</v>
      </c>
      <c r="C293" s="58" t="s">
        <v>444</v>
      </c>
    </row>
    <row r="294" spans="2:3" ht="23.25" customHeight="1">
      <c r="B294" s="52" t="s">
        <v>445</v>
      </c>
      <c r="C294" s="55" t="s">
        <v>446</v>
      </c>
    </row>
    <row r="295" spans="2:3" ht="23.25" customHeight="1">
      <c r="B295" s="53" t="s">
        <v>344</v>
      </c>
      <c r="C295" s="58" t="s">
        <v>447</v>
      </c>
    </row>
    <row r="296" spans="2:3" ht="23.25" customHeight="1">
      <c r="B296" s="52"/>
      <c r="C296" s="55"/>
    </row>
  </sheetData>
  <dataValidations count="4">
    <dataValidation type="list" allowBlank="1" showInputMessage="1" showErrorMessage="1" sqref="E26:E32 E3:E17" xr:uid="{00000000-0002-0000-0400-000000000000}">
      <formula1>"Rd,Est &amp; Wrt,Wrt"</formula1>
    </dataValidation>
    <dataValidation type="list" allowBlank="1" showInputMessage="1" showErrorMessage="1" sqref="D26:D96 D2:D17" xr:uid="{00000000-0002-0000-0400-000001000000}">
      <formula1>"I,O"</formula1>
    </dataValidation>
    <dataValidation type="list" allowBlank="1" showInputMessage="1" showErrorMessage="1" sqref="J3:J24" xr:uid="{00000000-0002-0000-0400-000002000000}">
      <formula1>"A,D"</formula1>
    </dataValidation>
    <dataValidation type="list" allowBlank="1" showInputMessage="1" showErrorMessage="1" sqref="I2:I96" xr:uid="{00000000-0002-0000-0400-000003000000}">
      <formula1>"Y,N"</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050a034-422b-4467-be00-41b33fcf47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78B9525CE24D41B7CB17B3C8BB9653" ma:contentTypeVersion="9" ma:contentTypeDescription="Create a new document." ma:contentTypeScope="" ma:versionID="92e0b65661310645bb2f4f29ef198891">
  <xsd:schema xmlns:xsd="http://www.w3.org/2001/XMLSchema" xmlns:xs="http://www.w3.org/2001/XMLSchema" xmlns:p="http://schemas.microsoft.com/office/2006/metadata/properties" xmlns:ns2="7050a034-422b-4467-be00-41b33fcf47d8" targetNamespace="http://schemas.microsoft.com/office/2006/metadata/properties" ma:root="true" ma:fieldsID="cb7452533ba4d885af95bee97c2e13d0" ns2:_="">
    <xsd:import namespace="7050a034-422b-4467-be00-41b33fcf47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50a034-422b-4467-be00-41b33fcf4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910060-619e-40f5-9968-44ccfb98e20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299D4E-08D3-48DD-93A0-2DDA938DC3F7}"/>
</file>

<file path=customXml/itemProps2.xml><?xml version="1.0" encoding="utf-8"?>
<ds:datastoreItem xmlns:ds="http://schemas.openxmlformats.org/officeDocument/2006/customXml" ds:itemID="{5CCB7DB6-7ABE-4DDE-9DBB-7CDB45D58A00}"/>
</file>

<file path=customXml/itemProps3.xml><?xml version="1.0" encoding="utf-8"?>
<ds:datastoreItem xmlns:ds="http://schemas.openxmlformats.org/officeDocument/2006/customXml" ds:itemID="{973D4C9B-5B3A-48AD-8C61-91775C2276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RSS527175</dc:creator>
  <cp:keywords/>
  <dc:description/>
  <cp:lastModifiedBy/>
  <cp:revision/>
  <dcterms:created xsi:type="dcterms:W3CDTF">2025-11-10T13:15:00Z</dcterms:created>
  <dcterms:modified xsi:type="dcterms:W3CDTF">2026-01-23T10:03:39Z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0x010100ED78B9525CE24D41B7CB17B3C8BB9653</vt:lpwstr>
  </property>
  <property fmtid="{D5CDD505-2E9C-101B-9397-08002B2CF9AE}" pid="3" name="MediaServiceImageTags">
    <vt:lpwstr/>
  </property>
</Properties>
</file>