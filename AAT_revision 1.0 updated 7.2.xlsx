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tatamotors-my.sharepoint.com/personal/psp520305_tatamotors_com/Documents/Pratik/In house/"/>
    </mc:Choice>
  </mc:AlternateContent>
  <xr:revisionPtr revIDLastSave="7" documentId="8_{D8E32453-7FAB-4A76-BF79-D1854F608D01}" xr6:coauthVersionLast="47" xr6:coauthVersionMax="47" xr10:uidLastSave="{B377D5B0-469F-48D2-8AAC-BCBACF9EEC5F}"/>
  <bookViews>
    <workbookView xWindow="-110" yWindow="-110" windowWidth="19420" windowHeight="11500" tabRatio="814" firstSheet="3" activeTab="5" xr2:uid="{00000000-000D-0000-FFFF-FFFF00000000}"/>
  </bookViews>
  <sheets>
    <sheet name="Veh PALs" sheetId="41" r:id="rId1"/>
    <sheet name="Panel chart summary" sheetId="55" r:id="rId2"/>
    <sheet name="Revision_History" sheetId="56" r:id="rId3"/>
    <sheet name="INFO" sheetId="45" r:id="rId4"/>
    <sheet name="P &amp; D" sheetId="58" r:id="rId5"/>
    <sheet name="D&amp;R" sheetId="46" r:id="rId6"/>
    <sheet name="Thermal Aerodynamics System Eng" sheetId="47" r:id="rId7"/>
    <sheet name="Utility &amp; Usage" sheetId="48" r:id="rId8"/>
    <sheet name="Safety" sheetId="51" r:id="rId9"/>
    <sheet name="Environment Mgmt" sheetId="60" r:id="rId10"/>
    <sheet name="HMI" sheetId="53" r:id="rId11"/>
  </sheets>
  <externalReferences>
    <externalReference r:id="rId12"/>
    <externalReference r:id="rId13"/>
  </externalReferences>
  <definedNames>
    <definedName name="_____a1" localSheetId="9">#REF!</definedName>
    <definedName name="_____a1" localSheetId="3">#REF!</definedName>
    <definedName name="_____a1" localSheetId="4">#REF!</definedName>
    <definedName name="_____a1" localSheetId="1">#REF!</definedName>
    <definedName name="_____a1">#REF!</definedName>
    <definedName name="____a1" localSheetId="9">#REF!</definedName>
    <definedName name="____a1" localSheetId="3">#REF!</definedName>
    <definedName name="____a1" localSheetId="4">#REF!</definedName>
    <definedName name="____a1" localSheetId="1">#REF!</definedName>
    <definedName name="____a1">#REF!</definedName>
    <definedName name="___a1" localSheetId="9">#REF!</definedName>
    <definedName name="___a1" localSheetId="3">#REF!</definedName>
    <definedName name="___a1" localSheetId="4">#REF!</definedName>
    <definedName name="___a1" localSheetId="1">#REF!</definedName>
    <definedName name="___a1">#REF!</definedName>
    <definedName name="__a1" localSheetId="9">#REF!</definedName>
    <definedName name="__a1" localSheetId="3">#REF!</definedName>
    <definedName name="__a1" localSheetId="4">#REF!</definedName>
    <definedName name="__a1" localSheetId="1">#REF!</definedName>
    <definedName name="__a1">#REF!</definedName>
    <definedName name="_a1" localSheetId="9">#REF!</definedName>
    <definedName name="_a1" localSheetId="3">#REF!</definedName>
    <definedName name="_a1" localSheetId="4">#REF!</definedName>
    <definedName name="_a1" localSheetId="1">#REF!</definedName>
    <definedName name="_a1">#REF!</definedName>
    <definedName name="_xlnm._FilterDatabase" localSheetId="5" hidden="1">'D&amp;R'!$A$2:$J$3</definedName>
    <definedName name="_xlnm._FilterDatabase" localSheetId="9" hidden="1">'Environment Mgmt'!$A$2:$J$7</definedName>
    <definedName name="_xlnm._FilterDatabase" localSheetId="10" hidden="1">HMI!$A$2:$J$25</definedName>
    <definedName name="_xlnm._FilterDatabase" localSheetId="4" hidden="1">'P &amp; D'!$E$1:$E$74</definedName>
    <definedName name="_xlnm._FilterDatabase" localSheetId="8" hidden="1">Safety!$A$2:$J$3</definedName>
    <definedName name="_xlnm._FilterDatabase" localSheetId="6" hidden="1">'Thermal Aerodynamics System Eng'!$A$2:$J$3</definedName>
    <definedName name="_xlnm._FilterDatabase" localSheetId="7" hidden="1">'Utility &amp; Usage'!$A$2:$J$3</definedName>
    <definedName name="_Toc116380018" localSheetId="5">'D&amp;R'!#REF!</definedName>
    <definedName name="_Toc116380018" localSheetId="9">'Environment Mgmt'!#REF!</definedName>
    <definedName name="_Toc116380018" localSheetId="10">HMI!#REF!</definedName>
    <definedName name="_Toc116380018" localSheetId="4">'P &amp; D'!#REF!</definedName>
    <definedName name="_Toc116380018" localSheetId="8">Safety!#REF!</definedName>
    <definedName name="_Toc116380018" localSheetId="6">'Thermal Aerodynamics System Eng'!#REF!</definedName>
    <definedName name="_Toc116380018" localSheetId="7">'Utility &amp; Usage'!#REF!</definedName>
    <definedName name="_Toc260205582" localSheetId="5">'D&amp;R'!#REF!</definedName>
    <definedName name="_Toc260205582" localSheetId="9">'Environment Mgmt'!#REF!</definedName>
    <definedName name="_Toc260205582" localSheetId="10">HMI!#REF!</definedName>
    <definedName name="_Toc260205582" localSheetId="4">'P &amp; D'!#REF!</definedName>
    <definedName name="_Toc260205582" localSheetId="8">Safety!#REF!</definedName>
    <definedName name="_Toc260205582" localSheetId="6">'Thermal Aerodynamics System Eng'!#REF!</definedName>
    <definedName name="_Toc260205582" localSheetId="7">'Utility &amp; Usage'!#REF!</definedName>
    <definedName name="_Toc308099769" localSheetId="5">'D&amp;R'!#REF!</definedName>
    <definedName name="_Toc308099769" localSheetId="9">'Environment Mgmt'!#REF!</definedName>
    <definedName name="_Toc308099769" localSheetId="10">HMI!#REF!</definedName>
    <definedName name="_Toc308099769" localSheetId="4">'P &amp; D'!#REF!</definedName>
    <definedName name="_Toc308099769" localSheetId="8">Safety!#REF!</definedName>
    <definedName name="_Toc308099769" localSheetId="6">'Thermal Aerodynamics System Eng'!#REF!</definedName>
    <definedName name="_Toc308099769" localSheetId="7">'Utility &amp; Usage'!#REF!</definedName>
    <definedName name="_Toc6661815" localSheetId="5">'D&amp;R'!#REF!</definedName>
    <definedName name="_Toc6661815" localSheetId="9">'Environment Mgmt'!#REF!</definedName>
    <definedName name="_Toc6661815" localSheetId="10">HMI!#REF!</definedName>
    <definedName name="_Toc6661815" localSheetId="4">'P &amp; D'!#REF!</definedName>
    <definedName name="_Toc6661815" localSheetId="8">Safety!#REF!</definedName>
    <definedName name="_Toc6661815" localSheetId="6">'Thermal Aerodynamics System Eng'!#REF!</definedName>
    <definedName name="_Toc6661815" localSheetId="7">'Utility &amp; Usage'!#REF!</definedName>
    <definedName name="_Toc6661871" localSheetId="5">'D&amp;R'!#REF!</definedName>
    <definedName name="_Toc6661871" localSheetId="9">'Environment Mgmt'!#REF!</definedName>
    <definedName name="_Toc6661871" localSheetId="10">HMI!#REF!</definedName>
    <definedName name="_Toc6661871" localSheetId="4">'P &amp; D'!#REF!</definedName>
    <definedName name="_Toc6661871" localSheetId="8">Safety!#REF!</definedName>
    <definedName name="_Toc6661871" localSheetId="6">'Thermal Aerodynamics System Eng'!#REF!</definedName>
    <definedName name="_Toc6661871" localSheetId="7">'Utility &amp; Usage'!#REF!</definedName>
    <definedName name="a" localSheetId="3" hidden="1">{#N/A,#N/A,TRUE,"RIDE";#N/A,#N/A,TRUE,"STEERING";#N/A,#N/A,TRUE,"HANDLING";#N/A,#N/A,TRUE,"BRAKING"}</definedName>
    <definedName name="a" localSheetId="1" hidden="1">{#N/A,#N/A,TRUE,"RIDE";#N/A,#N/A,TRUE,"STEERING";#N/A,#N/A,TRUE,"HANDLING";#N/A,#N/A,TRUE,"BRAKING"}</definedName>
    <definedName name="a" hidden="1">{#N/A,#N/A,TRUE,"RIDE";#N/A,#N/A,TRUE,"STEERING";#N/A,#N/A,TRUE,"HANDLING";#N/A,#N/A,TRUE,"BRAKING"}</definedName>
    <definedName name="aaa" localSheetId="3" hidden="1">{#N/A,#N/A,TRUE,"RIDE";#N/A,#N/A,TRUE,"STEERING";#N/A,#N/A,TRUE,"HANDLING";#N/A,#N/A,TRUE,"BRAKING"}</definedName>
    <definedName name="aaa" localSheetId="1" hidden="1">{#N/A,#N/A,TRUE,"RIDE";#N/A,#N/A,TRUE,"STEERING";#N/A,#N/A,TRUE,"HANDLING";#N/A,#N/A,TRUE,"BRAKING"}</definedName>
    <definedName name="aaa" hidden="1">{#N/A,#N/A,TRUE,"RIDE";#N/A,#N/A,TRUE,"STEERING";#N/A,#N/A,TRUE,"HANDLING";#N/A,#N/A,TRUE,"BRAKING"}</definedName>
    <definedName name="aaaa" localSheetId="9">#REF!</definedName>
    <definedName name="aaaa" localSheetId="3">#REF!</definedName>
    <definedName name="aaaa" localSheetId="4">#REF!</definedName>
    <definedName name="aaaa" localSheetId="1">#REF!</definedName>
    <definedName name="aaaa">#REF!</definedName>
    <definedName name="b" localSheetId="9">#REF!</definedName>
    <definedName name="b" localSheetId="3">#REF!</definedName>
    <definedName name="b" localSheetId="4">#REF!</definedName>
    <definedName name="b" localSheetId="1">#REF!</definedName>
    <definedName name="b">#REF!</definedName>
    <definedName name="BASEPART" localSheetId="9">#REF!</definedName>
    <definedName name="BASEPART" localSheetId="3">#REF!</definedName>
    <definedName name="BASEPART" localSheetId="4">#REF!</definedName>
    <definedName name="BASEPART" localSheetId="1">#REF!</definedName>
    <definedName name="BASEPART">#REF!</definedName>
    <definedName name="bore" localSheetId="9">#REF!</definedName>
    <definedName name="bore" localSheetId="3">#REF!</definedName>
    <definedName name="bore" localSheetId="4">#REF!</definedName>
    <definedName name="bore" localSheetId="1">#REF!</definedName>
    <definedName name="bore">#REF!</definedName>
    <definedName name="bore_spacing" localSheetId="9">#REF!</definedName>
    <definedName name="bore_spacing" localSheetId="3">#REF!</definedName>
    <definedName name="bore_spacing" localSheetId="4">#REF!</definedName>
    <definedName name="bore_spacing" localSheetId="1">#REF!</definedName>
    <definedName name="bore_spacing">#REF!</definedName>
    <definedName name="bore3" localSheetId="9">#REF!</definedName>
    <definedName name="bore3" localSheetId="3">#REF!</definedName>
    <definedName name="bore3" localSheetId="4">#REF!</definedName>
    <definedName name="bore3" localSheetId="1">#REF!</definedName>
    <definedName name="bore3">#REF!</definedName>
    <definedName name="cheek_relief_thickness" localSheetId="9">#REF!</definedName>
    <definedName name="cheek_relief_thickness" localSheetId="3">#REF!</definedName>
    <definedName name="cheek_relief_thickness" localSheetId="4">#REF!</definedName>
    <definedName name="cheek_relief_thickness" localSheetId="1">#REF!</definedName>
    <definedName name="cheek_relief_thickness">#REF!</definedName>
    <definedName name="Components" localSheetId="9">#REF!</definedName>
    <definedName name="Components" localSheetId="3">#REF!</definedName>
    <definedName name="Components" localSheetId="4">#REF!</definedName>
    <definedName name="Components" localSheetId="1">#REF!</definedName>
    <definedName name="Components">#REF!</definedName>
    <definedName name="conn._rod_length" localSheetId="9">#REF!</definedName>
    <definedName name="conn._rod_length" localSheetId="3">#REF!</definedName>
    <definedName name="conn._rod_length" localSheetId="4">#REF!</definedName>
    <definedName name="conn._rod_length" localSheetId="1">#REF!</definedName>
    <definedName name="conn._rod_length">#REF!</definedName>
    <definedName name="cylinder3" localSheetId="9">#REF!</definedName>
    <definedName name="cylinder3" localSheetId="3">#REF!</definedName>
    <definedName name="cylinder3" localSheetId="4">#REF!</definedName>
    <definedName name="cylinder3" localSheetId="1">#REF!</definedName>
    <definedName name="cylinder3">#REF!</definedName>
    <definedName name="cylinders" localSheetId="9">#REF!</definedName>
    <definedName name="cylinders" localSheetId="3">#REF!</definedName>
    <definedName name="cylinders" localSheetId="4">#REF!</definedName>
    <definedName name="cylinders" localSheetId="1">#REF!</definedName>
    <definedName name="cylinders">#REF!</definedName>
    <definedName name="Des_Exr_Stance" localSheetId="9">#REF!</definedName>
    <definedName name="Des_Exr_Stance" localSheetId="3">#REF!</definedName>
    <definedName name="Des_Exr_Stance" localSheetId="4">#REF!</definedName>
    <definedName name="Des_Exr_Stance" localSheetId="1">#REF!</definedName>
    <definedName name="Des_Exr_Stance">#REF!</definedName>
    <definedName name="Des_Ext_DetailEx" localSheetId="9">#REF!</definedName>
    <definedName name="Des_Ext_DetailEx" localSheetId="3">#REF!</definedName>
    <definedName name="Des_Ext_DetailEx" localSheetId="4">#REF!</definedName>
    <definedName name="Des_Ext_DetailEx" localSheetId="1">#REF!</definedName>
    <definedName name="Des_Ext_DetailEx">#REF!</definedName>
    <definedName name="Des_Ext_Proportion" localSheetId="9">#REF!</definedName>
    <definedName name="Des_Ext_Proportion" localSheetId="3">#REF!</definedName>
    <definedName name="Des_Ext_Proportion" localSheetId="4">#REF!</definedName>
    <definedName name="Des_Ext_Proportion" localSheetId="1">#REF!</definedName>
    <definedName name="Des_Ext_Proportion">#REF!</definedName>
    <definedName name="Des_Ext_Stance" localSheetId="9">#REF!</definedName>
    <definedName name="Des_Ext_Stance" localSheetId="3">#REF!</definedName>
    <definedName name="Des_Ext_Stance" localSheetId="4">#REF!</definedName>
    <definedName name="Des_Ext_Stance" localSheetId="1">#REF!</definedName>
    <definedName name="Des_Ext_Stance">#REF!</definedName>
    <definedName name="Des_Ext_SurfaceEx" localSheetId="9">#REF!</definedName>
    <definedName name="Des_Ext_SurfaceEx" localSheetId="3">#REF!</definedName>
    <definedName name="Des_Ext_SurfaceEx" localSheetId="4">#REF!</definedName>
    <definedName name="Des_Ext_SurfaceEx" localSheetId="1">#REF!</definedName>
    <definedName name="Des_Ext_SurfaceEx">#REF!</definedName>
    <definedName name="Des_Int_CompDef" localSheetId="9">#REF!</definedName>
    <definedName name="Des_Int_CompDef" localSheetId="3">#REF!</definedName>
    <definedName name="Des_Int_CompDef" localSheetId="4">#REF!</definedName>
    <definedName name="Des_Int_CompDef" localSheetId="1">#REF!</definedName>
    <definedName name="Des_Int_CompDef">#REF!</definedName>
    <definedName name="Des_Int_VnP" localSheetId="9">#REF!</definedName>
    <definedName name="Des_Int_VnP" localSheetId="3">#REF!</definedName>
    <definedName name="Des_Int_VnP" localSheetId="4">#REF!</definedName>
    <definedName name="Des_Int_VnP" localSheetId="1">#REF!</definedName>
    <definedName name="Des_Int_VnP">#REF!</definedName>
    <definedName name="displacement" localSheetId="9">#REF!</definedName>
    <definedName name="displacement" localSheetId="3">#REF!</definedName>
    <definedName name="displacement" localSheetId="4">#REF!</definedName>
    <definedName name="displacement" localSheetId="1">#REF!</definedName>
    <definedName name="displacement">#REF!</definedName>
    <definedName name="displacement3" localSheetId="9">#REF!</definedName>
    <definedName name="displacement3" localSheetId="3">#REF!</definedName>
    <definedName name="displacement3" localSheetId="4">#REF!</definedName>
    <definedName name="displacement3" localSheetId="1">#REF!</definedName>
    <definedName name="displacement3">#REF!</definedName>
    <definedName name="DnR_Degrade_Function_NVH" localSheetId="9">#REF!</definedName>
    <definedName name="DnR_Degrade_Function_NVH" localSheetId="3">#REF!</definedName>
    <definedName name="DnR_Degrade_Function_NVH" localSheetId="4">#REF!</definedName>
    <definedName name="DnR_Degrade_Function_NVH" localSheetId="1">#REF!</definedName>
    <definedName name="DnR_Degrade_Function_NVH">#REF!</definedName>
    <definedName name="DnR_Degrade_PQDegrade_Optical" localSheetId="9">#REF!</definedName>
    <definedName name="DnR_Degrade_PQDegrade_Optical" localSheetId="3">#REF!</definedName>
    <definedName name="DnR_Degrade_PQDegrade_Optical" localSheetId="4">#REF!</definedName>
    <definedName name="DnR_Degrade_PQDegrade_Optical" localSheetId="1">#REF!</definedName>
    <definedName name="DnR_Degrade_PQDegrade_Optical">#REF!</definedName>
    <definedName name="DnR_Degrade_PQDegrade_Smell" localSheetId="9">#REF!</definedName>
    <definedName name="DnR_Degrade_PQDegrade_Smell" localSheetId="3">#REF!</definedName>
    <definedName name="DnR_Degrade_PQDegrade_Smell" localSheetId="4">#REF!</definedName>
    <definedName name="DnR_Degrade_PQDegrade_Smell" localSheetId="1">#REF!</definedName>
    <definedName name="DnR_Degrade_PQDegrade_Smell">#REF!</definedName>
    <definedName name="DnR_Degrade_PQDegrade_Sound" localSheetId="9">#REF!</definedName>
    <definedName name="DnR_Degrade_PQDegrade_Sound" localSheetId="3">#REF!</definedName>
    <definedName name="DnR_Degrade_PQDegrade_Sound" localSheetId="4">#REF!</definedName>
    <definedName name="DnR_Degrade_PQDegrade_Sound" localSheetId="1">#REF!</definedName>
    <definedName name="DnR_Degrade_PQDegrade_Sound">#REF!</definedName>
    <definedName name="DnR_Degrade_PQDegrade_Touch" localSheetId="9">#REF!</definedName>
    <definedName name="DnR_Degrade_PQDegrade_Touch" localSheetId="3">#REF!</definedName>
    <definedName name="DnR_Degrade_PQDegrade_Touch" localSheetId="4">#REF!</definedName>
    <definedName name="DnR_Degrade_PQDegrade_Touch" localSheetId="1">#REF!</definedName>
    <definedName name="DnR_Degrade_PQDegrade_Touch">#REF!</definedName>
    <definedName name="Dupa" localSheetId="9">#REF!</definedName>
    <definedName name="Dupa" localSheetId="3">#REF!</definedName>
    <definedName name="Dupa" localSheetId="4">#REF!</definedName>
    <definedName name="Dupa" localSheetId="1">#REF!</definedName>
    <definedName name="Dupa">#REF!</definedName>
    <definedName name="E" localSheetId="3" hidden="1">{#N/A,#N/A,TRUE,"RIDE";#N/A,#N/A,TRUE,"STEERING";#N/A,#N/A,TRUE,"HANDLING";#N/A,#N/A,TRUE,"BRAKING"}</definedName>
    <definedName name="E" localSheetId="1" hidden="1">{#N/A,#N/A,TRUE,"RIDE";#N/A,#N/A,TRUE,"STEERING";#N/A,#N/A,TRUE,"HANDLING";#N/A,#N/A,TRUE,"BRAKING"}</definedName>
    <definedName name="E" hidden="1">{#N/A,#N/A,TRUE,"RIDE";#N/A,#N/A,TRUE,"STEERING";#N/A,#N/A,TRUE,"HANDLING";#N/A,#N/A,TRUE,"BRAKING"}</definedName>
    <definedName name="en" localSheetId="3" hidden="1">{#N/A,#N/A,TRUE,"RIDE";#N/A,#N/A,TRUE,"STEERING";#N/A,#N/A,TRUE,"HANDLING";#N/A,#N/A,TRUE,"BRAKING"}</definedName>
    <definedName name="en" localSheetId="1" hidden="1">{#N/A,#N/A,TRUE,"RIDE";#N/A,#N/A,TRUE,"STEERING";#N/A,#N/A,TRUE,"HANDLING";#N/A,#N/A,TRUE,"BRAKING"}</definedName>
    <definedName name="en" hidden="1">{#N/A,#N/A,TRUE,"RIDE";#N/A,#N/A,TRUE,"STEERING";#N/A,#N/A,TRUE,"HANDLING";#N/A,#N/A,TRUE,"BRAKING"}</definedName>
    <definedName name="Frequency" localSheetId="9">#REF!</definedName>
    <definedName name="Frequency" localSheetId="3">#REF!</definedName>
    <definedName name="Frequency" localSheetId="4">#REF!</definedName>
    <definedName name="Frequency" localSheetId="1">#REF!</definedName>
    <definedName name="Frequency">#REF!</definedName>
    <definedName name="hu" localSheetId="3" hidden="1">{#N/A,#N/A,TRUE,"RIDE";#N/A,#N/A,TRUE,"STEERING";#N/A,#N/A,TRUE,"HANDLING";#N/A,#N/A,TRUE,"BRAKING"}</definedName>
    <definedName name="hu" localSheetId="1" hidden="1">{#N/A,#N/A,TRUE,"RIDE";#N/A,#N/A,TRUE,"STEERING";#N/A,#N/A,TRUE,"HANDLING";#N/A,#N/A,TRUE,"BRAKING"}</definedName>
    <definedName name="hu" hidden="1">{#N/A,#N/A,TRUE,"RIDE";#N/A,#N/A,TRUE,"STEERING";#N/A,#N/A,TRUE,"HANDLING";#N/A,#N/A,TRUE,"BRAKING"}</definedName>
    <definedName name="Input_Range">'[1]Data from MSP'!$A$4:$G$137</definedName>
    <definedName name="JW_City" localSheetId="9">'[2]Fr &amp; Rr Ride Results Averaged'!#REF!</definedName>
    <definedName name="JW_City" localSheetId="3">'[2]Fr &amp; Rr Ride Results Averaged'!#REF!</definedName>
    <definedName name="JW_City" localSheetId="4">'[2]Fr &amp; Rr Ride Results Averaged'!#REF!</definedName>
    <definedName name="JW_City" localSheetId="1">'[2]Fr &amp; Rr Ride Results Averaged'!#REF!</definedName>
    <definedName name="JW_City">'[2]Fr &amp; Rr Ride Results Averaged'!#REF!</definedName>
    <definedName name="maxspeed" localSheetId="9">#REF!</definedName>
    <definedName name="maxspeed" localSheetId="3">#REF!</definedName>
    <definedName name="maxspeed" localSheetId="4">#REF!</definedName>
    <definedName name="maxspeed" localSheetId="1">#REF!</definedName>
    <definedName name="maxspeed">#REF!</definedName>
    <definedName name="mbmep" localSheetId="9">#REF!</definedName>
    <definedName name="mbmep" localSheetId="3">#REF!</definedName>
    <definedName name="mbmep" localSheetId="4">#REF!</definedName>
    <definedName name="mbmep" localSheetId="1">#REF!</definedName>
    <definedName name="mbmep">#REF!</definedName>
    <definedName name="ncgf" localSheetId="3" hidden="1">{#N/A,#N/A,TRUE,"RIDE";#N/A,#N/A,TRUE,"STEERING";#N/A,#N/A,TRUE,"HANDLING";#N/A,#N/A,TRUE,"BRAKING"}</definedName>
    <definedName name="ncgf" localSheetId="1" hidden="1">{#N/A,#N/A,TRUE,"RIDE";#N/A,#N/A,TRUE,"STEERING";#N/A,#N/A,TRUE,"HANDLING";#N/A,#N/A,TRUE,"BRAKING"}</definedName>
    <definedName name="ncgf" hidden="1">{#N/A,#N/A,TRUE,"RIDE";#N/A,#N/A,TRUE,"STEERING";#N/A,#N/A,TRUE,"HANDLING";#N/A,#N/A,TRUE,"BRAKING"}</definedName>
    <definedName name="none" localSheetId="9">#REF!</definedName>
    <definedName name="none" localSheetId="3">#REF!</definedName>
    <definedName name="none" localSheetId="4">#REF!</definedName>
    <definedName name="none" localSheetId="1">#REF!</definedName>
    <definedName name="none">#REF!</definedName>
    <definedName name="NVH_OpSoundQ" localSheetId="9">#REF!</definedName>
    <definedName name="NVH_OpSoundQ" localSheetId="3">#REF!</definedName>
    <definedName name="NVH_OpSoundQ" localSheetId="4">#REF!</definedName>
    <definedName name="NVH_OpSoundQ" localSheetId="1">#REF!</definedName>
    <definedName name="NVH_OpSoundQ">#REF!</definedName>
    <definedName name="NVH_RoadNVH_ImpactNoise" localSheetId="9">#REF!</definedName>
    <definedName name="NVH_RoadNVH_ImpactNoise" localSheetId="3">#REF!</definedName>
    <definedName name="NVH_RoadNVH_ImpactNoise" localSheetId="4">#REF!</definedName>
    <definedName name="NVH_RoadNVH_ImpactNoise" localSheetId="1">#REF!</definedName>
    <definedName name="NVH_RoadNVH_ImpactNoise">#REF!</definedName>
    <definedName name="NVH_SqueakRattle" localSheetId="9">#REF!</definedName>
    <definedName name="NVH_SqueakRattle" localSheetId="3">#REF!</definedName>
    <definedName name="NVH_SqueakRattle" localSheetId="4">#REF!</definedName>
    <definedName name="NVH_SqueakRattle" localSheetId="1">#REF!</definedName>
    <definedName name="NVH_SqueakRattle">#REF!</definedName>
    <definedName name="PARTBASE" localSheetId="9">#REF!</definedName>
    <definedName name="PARTBASE" localSheetId="3">#REF!</definedName>
    <definedName name="PARTBASE" localSheetId="4">#REF!</definedName>
    <definedName name="PARTBASE" localSheetId="1">#REF!</definedName>
    <definedName name="PARTBASE">#REF!</definedName>
    <definedName name="piston_comp_height" localSheetId="9">#REF!</definedName>
    <definedName name="piston_comp_height" localSheetId="3">#REF!</definedName>
    <definedName name="piston_comp_height" localSheetId="4">#REF!</definedName>
    <definedName name="piston_comp_height" localSheetId="1">#REF!</definedName>
    <definedName name="piston_comp_height">#REF!</definedName>
    <definedName name="piston_compression_height" localSheetId="9">#REF!</definedName>
    <definedName name="piston_compression_height" localSheetId="3">#REF!</definedName>
    <definedName name="piston_compression_height" localSheetId="4">#REF!</definedName>
    <definedName name="piston_compression_height" localSheetId="1">#REF!</definedName>
    <definedName name="piston_compression_height">#REF!</definedName>
    <definedName name="PQ_CraftedQ_SoundQ_OpSoundQ" localSheetId="9">#REF!</definedName>
    <definedName name="PQ_CraftedQ_SoundQ_OpSoundQ" localSheetId="3">#REF!</definedName>
    <definedName name="PQ_CraftedQ_SoundQ_OpSoundQ" localSheetId="4">#REF!</definedName>
    <definedName name="PQ_CraftedQ_SoundQ_OpSoundQ" localSheetId="1">#REF!</definedName>
    <definedName name="PQ_CraftedQ_SoundQ_OpSoundQ">#REF!</definedName>
    <definedName name="PQ_CraftQ_OptQ_OptDegrade" localSheetId="9">#REF!</definedName>
    <definedName name="PQ_CraftQ_OptQ_OptDegrade" localSheetId="3">#REF!</definedName>
    <definedName name="PQ_CraftQ_OptQ_OptDegrade" localSheetId="4">#REF!</definedName>
    <definedName name="PQ_CraftQ_OptQ_OptDegrade" localSheetId="1">#REF!</definedName>
    <definedName name="PQ_CraftQ_OptQ_OptDegrade">#REF!</definedName>
    <definedName name="PQ_CraftQ_Smell" localSheetId="9">#REF!</definedName>
    <definedName name="PQ_CraftQ_Smell" localSheetId="3">#REF!</definedName>
    <definedName name="PQ_CraftQ_Smell" localSheetId="4">#REF!</definedName>
    <definedName name="PQ_CraftQ_Smell" localSheetId="1">#REF!</definedName>
    <definedName name="PQ_CraftQ_Smell">#REF!</definedName>
    <definedName name="PQ_CraftQ_SoundQ_OpSoundDegrade" localSheetId="9">#REF!</definedName>
    <definedName name="PQ_CraftQ_SoundQ_OpSoundDegrade" localSheetId="3">#REF!</definedName>
    <definedName name="PQ_CraftQ_SoundQ_OpSoundDegrade" localSheetId="4">#REF!</definedName>
    <definedName name="PQ_CraftQ_SoundQ_OpSoundDegrade" localSheetId="1">#REF!</definedName>
    <definedName name="PQ_CraftQ_SoundQ_OpSoundDegrade">#REF!</definedName>
    <definedName name="PQ_CraftQ_Touch_TouchDegrade" localSheetId="9">#REF!</definedName>
    <definedName name="PQ_CraftQ_Touch_TouchDegrade" localSheetId="3">#REF!</definedName>
    <definedName name="PQ_CraftQ_Touch_TouchDegrade" localSheetId="4">#REF!</definedName>
    <definedName name="PQ_CraftQ_Touch_TouchDegrade" localSheetId="1">#REF!</definedName>
    <definedName name="PQ_CraftQ_Touch_TouchDegrade">#REF!</definedName>
    <definedName name="PQ_Des_Int_VnP" localSheetId="9">#REF!</definedName>
    <definedName name="PQ_Des_Int_VnP" localSheetId="3">#REF!</definedName>
    <definedName name="PQ_Des_Int_VnP" localSheetId="4">#REF!</definedName>
    <definedName name="PQ_Des_Int_VnP" localSheetId="1">#REF!</definedName>
    <definedName name="PQ_Des_Int_VnP">#REF!</definedName>
    <definedName name="PQ_DesQ_Int_ComponentDef" localSheetId="9">#REF!</definedName>
    <definedName name="PQ_DesQ_Int_ComponentDef" localSheetId="3">#REF!</definedName>
    <definedName name="PQ_DesQ_Int_ComponentDef" localSheetId="4">#REF!</definedName>
    <definedName name="PQ_DesQ_Int_ComponentDef" localSheetId="1">#REF!</definedName>
    <definedName name="PQ_DesQ_Int_ComponentDef">#REF!</definedName>
    <definedName name="PQ_DesQ_Int_MatSelect" localSheetId="9">#REF!</definedName>
    <definedName name="PQ_DesQ_Int_MatSelect" localSheetId="3">#REF!</definedName>
    <definedName name="PQ_DesQ_Int_MatSelect" localSheetId="4">#REF!</definedName>
    <definedName name="PQ_DesQ_Int_MatSelect" localSheetId="1">#REF!</definedName>
    <definedName name="PQ_DesQ_Int_MatSelect">#REF!</definedName>
    <definedName name="_xlnm.Print_Area" localSheetId="1">'Panel chart summary'!$C$2:$E$13</definedName>
    <definedName name="print7">#N/A</definedName>
    <definedName name="rbmep" localSheetId="9">#REF!</definedName>
    <definedName name="rbmep" localSheetId="3">#REF!</definedName>
    <definedName name="rbmep" localSheetId="4">#REF!</definedName>
    <definedName name="rbmep" localSheetId="1">#REF!</definedName>
    <definedName name="rbmep">#REF!</definedName>
    <definedName name="Ref" localSheetId="3" hidden="1">{#N/A,#N/A,TRUE,"RIDE";#N/A,#N/A,TRUE,"STEERING";#N/A,#N/A,TRUE,"HANDLING";#N/A,#N/A,TRUE,"BRAKING"}</definedName>
    <definedName name="Ref" localSheetId="1" hidden="1">{#N/A,#N/A,TRUE,"RIDE";#N/A,#N/A,TRUE,"STEERING";#N/A,#N/A,TRUE,"HANDLING";#N/A,#N/A,TRUE,"BRAKING"}</definedName>
    <definedName name="Ref" hidden="1">{#N/A,#N/A,TRUE,"RIDE";#N/A,#N/A,TRUE,"STEERING";#N/A,#N/A,TRUE,"HANDLING";#N/A,#N/A,TRUE,"BRAKING"}</definedName>
    <definedName name="Severity" localSheetId="9">#REF!</definedName>
    <definedName name="Severity" localSheetId="3">#REF!</definedName>
    <definedName name="Severity" localSheetId="4">#REF!</definedName>
    <definedName name="Severity" localSheetId="1">#REF!</definedName>
    <definedName name="Severity">#REF!</definedName>
    <definedName name="SnS_ActiveS_CollisionAvoid_LowSpeedDamage" localSheetId="9">#REF!</definedName>
    <definedName name="SnS_ActiveS_CollisionAvoid_LowSpeedDamage" localSheetId="3">#REF!</definedName>
    <definedName name="SnS_ActiveS_CollisionAvoid_LowSpeedDamage" localSheetId="4">#REF!</definedName>
    <definedName name="SnS_ActiveS_CollisionAvoid_LowSpeedDamage" localSheetId="1">#REF!</definedName>
    <definedName name="SnS_ActiveS_CollisionAvoid_LowSpeedDamage">#REF!</definedName>
    <definedName name="SnS_ActiveS_Dynamic" localSheetId="9">#REF!</definedName>
    <definedName name="SnS_ActiveS_Dynamic" localSheetId="3">#REF!</definedName>
    <definedName name="SnS_ActiveS_Dynamic" localSheetId="4">#REF!</definedName>
    <definedName name="SnS_ActiveS_Dynamic" localSheetId="1">#REF!</definedName>
    <definedName name="SnS_ActiveS_Dynamic">#REF!</definedName>
    <definedName name="SnS_ActiveS_Dynamic_Brake" localSheetId="9">#REF!</definedName>
    <definedName name="SnS_ActiveS_Dynamic_Brake" localSheetId="3">#REF!</definedName>
    <definedName name="SnS_ActiveS_Dynamic_Brake" localSheetId="4">#REF!</definedName>
    <definedName name="SnS_ActiveS_Dynamic_Brake" localSheetId="1">#REF!</definedName>
    <definedName name="SnS_ActiveS_Dynamic_Brake">#REF!</definedName>
    <definedName name="SnS_ActiveS_Dynamic_Handling" localSheetId="9">#REF!</definedName>
    <definedName name="SnS_ActiveS_Dynamic_Handling" localSheetId="3">#REF!</definedName>
    <definedName name="SnS_ActiveS_Dynamic_Handling" localSheetId="4">#REF!</definedName>
    <definedName name="SnS_ActiveS_Dynamic_Handling" localSheetId="1">#REF!</definedName>
    <definedName name="SnS_ActiveS_Dynamic_Handling">#REF!</definedName>
    <definedName name="sort_lynx75" localSheetId="9">#REF!</definedName>
    <definedName name="sort_lynx75" localSheetId="3">#REF!</definedName>
    <definedName name="sort_lynx75" localSheetId="4">#REF!</definedName>
    <definedName name="sort_lynx75" localSheetId="1">#REF!</definedName>
    <definedName name="sort_lynx75">#REF!</definedName>
    <definedName name="Sort_lynx90" localSheetId="9">#REF!</definedName>
    <definedName name="Sort_lynx90" localSheetId="3">#REF!</definedName>
    <definedName name="Sort_lynx90" localSheetId="4">#REF!</definedName>
    <definedName name="Sort_lynx90" localSheetId="1">#REF!</definedName>
    <definedName name="Sort_lynx90">#REF!</definedName>
    <definedName name="sort_V184" localSheetId="9">#REF!</definedName>
    <definedName name="sort_V184" localSheetId="3">#REF!</definedName>
    <definedName name="sort_V184" localSheetId="4">#REF!</definedName>
    <definedName name="sort_V184" localSheetId="1">#REF!</definedName>
    <definedName name="sort_V184">#REF!</definedName>
    <definedName name="stroke" localSheetId="9">#REF!</definedName>
    <definedName name="stroke" localSheetId="3">#REF!</definedName>
    <definedName name="stroke" localSheetId="4">#REF!</definedName>
    <definedName name="stroke" localSheetId="1">#REF!</definedName>
    <definedName name="stroke">#REF!</definedName>
    <definedName name="stroke3" localSheetId="9">#REF!</definedName>
    <definedName name="stroke3" localSheetId="3">#REF!</definedName>
    <definedName name="stroke3" localSheetId="4">#REF!</definedName>
    <definedName name="stroke3" localSheetId="1">#REF!</definedName>
    <definedName name="stroke3">#REF!</definedName>
    <definedName name="supplier" localSheetId="9">#REF!</definedName>
    <definedName name="supplier" localSheetId="3">#REF!</definedName>
    <definedName name="supplier" localSheetId="4">#REF!</definedName>
    <definedName name="supplier" localSheetId="1">#REF!</definedName>
    <definedName name="supplier">#REF!</definedName>
    <definedName name="SupplierList" localSheetId="9">#REF!</definedName>
    <definedName name="SupplierList" localSheetId="3">#REF!</definedName>
    <definedName name="SupplierList" localSheetId="4">#REF!</definedName>
    <definedName name="SupplierList" localSheetId="1">#REF!</definedName>
    <definedName name="SupplierList">#REF!</definedName>
    <definedName name="TNP_City" localSheetId="9">'[2]Fr &amp; Rr Ride Results Averaged'!#REF!</definedName>
    <definedName name="TNP_City" localSheetId="3">'[2]Fr &amp; Rr Ride Results Averaged'!#REF!</definedName>
    <definedName name="TNP_City" localSheetId="4">'[2]Fr &amp; Rr Ride Results Averaged'!#REF!</definedName>
    <definedName name="TNP_City" localSheetId="1">'[2]Fr &amp; Rr Ride Results Averaged'!#REF!</definedName>
    <definedName name="TNP_City">'[2]Fr &amp; Rr Ride Results Averaged'!#REF!</definedName>
    <definedName name="Top_Line" localSheetId="9">#REF!</definedName>
    <definedName name="Top_Line" localSheetId="3">#REF!</definedName>
    <definedName name="Top_Line" localSheetId="4">#REF!</definedName>
    <definedName name="Top_Line" localSheetId="1">#REF!</definedName>
    <definedName name="Top_Line">#REF!</definedName>
    <definedName name="torquespeed" localSheetId="9">#REF!</definedName>
    <definedName name="torquespeed" localSheetId="3">#REF!</definedName>
    <definedName name="torquespeed" localSheetId="4">#REF!</definedName>
    <definedName name="torquespeed" localSheetId="1">#REF!</definedName>
    <definedName name="torquespeed">#REF!</definedName>
    <definedName name="Total" localSheetId="9">#REF!</definedName>
    <definedName name="Total" localSheetId="3">#REF!</definedName>
    <definedName name="Total" localSheetId="4">#REF!</definedName>
    <definedName name="Total" localSheetId="1">#REF!</definedName>
    <definedName name="Total">#REF!</definedName>
    <definedName name="VeDyn_Braking" localSheetId="9">#REF!</definedName>
    <definedName name="VeDyn_Braking" localSheetId="3">#REF!</definedName>
    <definedName name="VeDyn_Braking" localSheetId="4">#REF!</definedName>
    <definedName name="VeDyn_Braking" localSheetId="1">#REF!</definedName>
    <definedName name="VeDyn_Braking">#REF!</definedName>
    <definedName name="VeDyn_Braking_ParkingBrake_SoundQ" localSheetId="9">#REF!</definedName>
    <definedName name="VeDyn_Braking_ParkingBrake_SoundQ" localSheetId="3">#REF!</definedName>
    <definedName name="VeDyn_Braking_ParkingBrake_SoundQ" localSheetId="4">#REF!</definedName>
    <definedName name="VeDyn_Braking_ParkingBrake_SoundQ" localSheetId="1">#REF!</definedName>
    <definedName name="VeDyn_Braking_ParkingBrake_SoundQ">#REF!</definedName>
    <definedName name="VeDyn_Handling" localSheetId="9">#REF!</definedName>
    <definedName name="VeDyn_Handling" localSheetId="3">#REF!</definedName>
    <definedName name="VeDyn_Handling" localSheetId="4">#REF!</definedName>
    <definedName name="VeDyn_Handling" localSheetId="1">#REF!</definedName>
    <definedName name="VeDyn_Handling">#REF!</definedName>
    <definedName name="VeDyn_Handling_AccelCapTraction" localSheetId="9">#REF!</definedName>
    <definedName name="VeDyn_Handling_AccelCapTraction" localSheetId="3">#REF!</definedName>
    <definedName name="VeDyn_Handling_AccelCapTraction" localSheetId="4">#REF!</definedName>
    <definedName name="VeDyn_Handling_AccelCapTraction" localSheetId="1">#REF!</definedName>
    <definedName name="VeDyn_Handling_AccelCapTraction">#REF!</definedName>
    <definedName name="VeDyn_Handling_ActiveControlSys" localSheetId="9">#REF!</definedName>
    <definedName name="VeDyn_Handling_ActiveControlSys" localSheetId="3">#REF!</definedName>
    <definedName name="VeDyn_Handling_ActiveControlSys" localSheetId="4">#REF!</definedName>
    <definedName name="VeDyn_Handling_ActiveControlSys" localSheetId="1">#REF!</definedName>
    <definedName name="VeDyn_Handling_ActiveControlSys">#REF!</definedName>
    <definedName name="VeDyn_Ride_Impacts_Sound" localSheetId="9">#REF!</definedName>
    <definedName name="VeDyn_Ride_Impacts_Sound" localSheetId="3">#REF!</definedName>
    <definedName name="VeDyn_Ride_Impacts_Sound" localSheetId="4">#REF!</definedName>
    <definedName name="VeDyn_Ride_Impacts_Sound" localSheetId="1">#REF!</definedName>
    <definedName name="VeDyn_Ride_Impacts_Sound">#REF!</definedName>
    <definedName name="vgy" localSheetId="9">#REF!</definedName>
    <definedName name="vgy" localSheetId="3">#REF!</definedName>
    <definedName name="vgy" localSheetId="4">#REF!</definedName>
    <definedName name="vgy" localSheetId="1">#REF!</definedName>
    <definedName name="vgy">#REF!</definedName>
    <definedName name="w" localSheetId="3" hidden="1">{#N/A,#N/A,TRUE,"RIDE";#N/A,#N/A,TRUE,"STEERING";#N/A,#N/A,TRUE,"HANDLING";#N/A,#N/A,TRUE,"BRAKING"}</definedName>
    <definedName name="w" localSheetId="1" hidden="1">{#N/A,#N/A,TRUE,"RIDE";#N/A,#N/A,TRUE,"STEERING";#N/A,#N/A,TRUE,"HANDLING";#N/A,#N/A,TRUE,"BRAKING"}</definedName>
    <definedName name="w" hidden="1">{#N/A,#N/A,TRUE,"RIDE";#N/A,#N/A,TRUE,"STEERING";#N/A,#N/A,TRUE,"HANDLING";#N/A,#N/A,TRUE,"BRAKING"}</definedName>
    <definedName name="wrn.target." localSheetId="3" hidden="1">{#N/A,#N/A,TRUE,"RIDE";#N/A,#N/A,TRUE,"STEERING";#N/A,#N/A,TRUE,"HANDLING";#N/A,#N/A,TRUE,"BRAKING"}</definedName>
    <definedName name="wrn.target." localSheetId="1" hidden="1">{#N/A,#N/A,TRUE,"RIDE";#N/A,#N/A,TRUE,"STEERING";#N/A,#N/A,TRUE,"HANDLING";#N/A,#N/A,TRUE,"BRAKING"}</definedName>
    <definedName name="wrn.target." hidden="1">{#N/A,#N/A,TRUE,"RIDE";#N/A,#N/A,TRUE,"STEERING";#N/A,#N/A,TRUE,"HANDLING";#N/A,#N/A,TRUE,"BRAKING"}</definedName>
    <definedName name="zxas" localSheetId="9">#REF!</definedName>
    <definedName name="zxas" localSheetId="3">#REF!</definedName>
    <definedName name="zxas" localSheetId="4">#REF!</definedName>
    <definedName name="zxas" localSheetId="1">#REF!</definedName>
    <definedName name="zx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" i="51" l="1"/>
  <c r="W13" i="51"/>
  <c r="V13" i="51"/>
  <c r="U13" i="51"/>
  <c r="P13" i="51"/>
  <c r="O13" i="51"/>
  <c r="N13" i="51"/>
  <c r="M13" i="51"/>
  <c r="X12" i="51"/>
  <c r="W12" i="51"/>
  <c r="V12" i="51"/>
  <c r="U12" i="51"/>
  <c r="P12" i="51"/>
  <c r="O12" i="51"/>
  <c r="N12" i="51"/>
  <c r="M12" i="51"/>
  <c r="X10" i="51"/>
  <c r="W10" i="51"/>
  <c r="V10" i="51"/>
  <c r="U10" i="51"/>
  <c r="P10" i="51"/>
  <c r="O10" i="51"/>
  <c r="N10" i="51"/>
  <c r="M10" i="51"/>
  <c r="M21" i="58" l="1"/>
  <c r="N21" i="58"/>
  <c r="O21" i="58"/>
  <c r="P21" i="58"/>
  <c r="U21" i="58"/>
  <c r="V21" i="58"/>
  <c r="W21" i="58"/>
  <c r="X21" i="58"/>
  <c r="M73" i="58"/>
  <c r="N73" i="58"/>
  <c r="O73" i="58"/>
  <c r="P73" i="58"/>
  <c r="U73" i="58"/>
  <c r="V73" i="58"/>
  <c r="W73" i="58"/>
  <c r="X73" i="58"/>
  <c r="M74" i="58"/>
  <c r="N74" i="58"/>
  <c r="O74" i="58"/>
  <c r="P74" i="58"/>
  <c r="U74" i="58"/>
  <c r="V74" i="58"/>
  <c r="W74" i="58"/>
  <c r="X74" i="58"/>
  <c r="X18" i="46"/>
  <c r="W18" i="46"/>
  <c r="V18" i="46"/>
  <c r="U18" i="46"/>
  <c r="X17" i="46"/>
  <c r="W17" i="46"/>
  <c r="V17" i="46"/>
  <c r="U17" i="46"/>
  <c r="X16" i="46"/>
  <c r="W16" i="46"/>
  <c r="V16" i="46"/>
  <c r="U16" i="46"/>
  <c r="X15" i="46"/>
  <c r="W15" i="46"/>
  <c r="V15" i="46"/>
  <c r="U15" i="46"/>
  <c r="X14" i="46"/>
  <c r="W14" i="46"/>
  <c r="V14" i="46"/>
  <c r="U14" i="46"/>
  <c r="X13" i="46"/>
  <c r="W13" i="46"/>
  <c r="V13" i="46"/>
  <c r="U13" i="46"/>
  <c r="X12" i="46"/>
  <c r="W12" i="46"/>
  <c r="V12" i="46"/>
  <c r="U12" i="46"/>
  <c r="X11" i="46"/>
  <c r="W11" i="46"/>
  <c r="V11" i="46"/>
  <c r="U11" i="46"/>
  <c r="X10" i="46"/>
  <c r="W10" i="46"/>
  <c r="V10" i="46"/>
  <c r="U10" i="46"/>
  <c r="X9" i="46"/>
  <c r="W9" i="46"/>
  <c r="V9" i="46"/>
  <c r="U9" i="46"/>
  <c r="X8" i="46"/>
  <c r="W8" i="46"/>
  <c r="V8" i="46"/>
  <c r="U8" i="46"/>
  <c r="X7" i="46"/>
  <c r="W7" i="46"/>
  <c r="V7" i="46"/>
  <c r="U7" i="46"/>
  <c r="X6" i="46"/>
  <c r="W6" i="46"/>
  <c r="V6" i="46"/>
  <c r="U6" i="46"/>
  <c r="X5" i="46"/>
  <c r="W5" i="46"/>
  <c r="V5" i="46"/>
  <c r="U5" i="46"/>
  <c r="X14" i="53"/>
  <c r="W14" i="53"/>
  <c r="V14" i="53"/>
  <c r="U14" i="53"/>
  <c r="P14" i="53"/>
  <c r="O14" i="53"/>
  <c r="N14" i="53"/>
  <c r="M14" i="53"/>
  <c r="X13" i="53"/>
  <c r="W13" i="53"/>
  <c r="V13" i="53"/>
  <c r="U13" i="53"/>
  <c r="P13" i="53"/>
  <c r="O13" i="53"/>
  <c r="N13" i="53"/>
  <c r="M13" i="53"/>
  <c r="X12" i="53"/>
  <c r="W12" i="53"/>
  <c r="V12" i="53"/>
  <c r="U12" i="53"/>
  <c r="P12" i="53"/>
  <c r="O12" i="53"/>
  <c r="N12" i="53"/>
  <c r="M12" i="53"/>
  <c r="X11" i="53"/>
  <c r="W11" i="53"/>
  <c r="V11" i="53"/>
  <c r="U11" i="53"/>
  <c r="P11" i="53"/>
  <c r="O11" i="53"/>
  <c r="N11" i="53"/>
  <c r="M11" i="53"/>
  <c r="X10" i="53"/>
  <c r="W10" i="53"/>
  <c r="V10" i="53"/>
  <c r="U10" i="53"/>
  <c r="P10" i="53"/>
  <c r="O10" i="53"/>
  <c r="N10" i="53"/>
  <c r="M10" i="53"/>
  <c r="X9" i="53"/>
  <c r="W9" i="53"/>
  <c r="V9" i="53"/>
  <c r="U9" i="53"/>
  <c r="P9" i="53"/>
  <c r="O9" i="53"/>
  <c r="N9" i="53"/>
  <c r="M9" i="53"/>
  <c r="X8" i="53"/>
  <c r="W8" i="53"/>
  <c r="V8" i="53"/>
  <c r="U8" i="53"/>
  <c r="P8" i="53"/>
  <c r="O8" i="53"/>
  <c r="N8" i="53"/>
  <c r="M8" i="53"/>
  <c r="X7" i="53"/>
  <c r="W7" i="53"/>
  <c r="V7" i="53"/>
  <c r="U7" i="53"/>
  <c r="P7" i="53"/>
  <c r="O7" i="53"/>
  <c r="N7" i="53"/>
  <c r="M7" i="53"/>
  <c r="X6" i="53"/>
  <c r="W6" i="53"/>
  <c r="V6" i="53"/>
  <c r="U6" i="53"/>
  <c r="P6" i="53"/>
  <c r="O6" i="53"/>
  <c r="N6" i="53"/>
  <c r="M6" i="53"/>
  <c r="X5" i="53"/>
  <c r="W5" i="53"/>
  <c r="V5" i="53"/>
  <c r="U5" i="53"/>
  <c r="P5" i="53"/>
  <c r="O5" i="53"/>
  <c r="N5" i="53"/>
  <c r="M5" i="53"/>
  <c r="X24" i="53"/>
  <c r="W24" i="53"/>
  <c r="V24" i="53"/>
  <c r="U24" i="53"/>
  <c r="P24" i="53"/>
  <c r="O24" i="53"/>
  <c r="N24" i="53"/>
  <c r="M24" i="53"/>
  <c r="X23" i="53"/>
  <c r="W23" i="53"/>
  <c r="V23" i="53"/>
  <c r="U23" i="53"/>
  <c r="P23" i="53"/>
  <c r="O23" i="53"/>
  <c r="N23" i="53"/>
  <c r="M23" i="53"/>
  <c r="X22" i="53"/>
  <c r="W22" i="53"/>
  <c r="V22" i="53"/>
  <c r="U22" i="53"/>
  <c r="P22" i="53"/>
  <c r="O22" i="53"/>
  <c r="N22" i="53"/>
  <c r="M22" i="53"/>
  <c r="X21" i="53"/>
  <c r="W21" i="53"/>
  <c r="V21" i="53"/>
  <c r="U21" i="53"/>
  <c r="P21" i="53"/>
  <c r="O21" i="53"/>
  <c r="N21" i="53"/>
  <c r="M21" i="53"/>
  <c r="X20" i="53"/>
  <c r="W20" i="53"/>
  <c r="V20" i="53"/>
  <c r="U20" i="53"/>
  <c r="P20" i="53"/>
  <c r="O20" i="53"/>
  <c r="N20" i="53"/>
  <c r="M20" i="53"/>
  <c r="X19" i="53"/>
  <c r="W19" i="53"/>
  <c r="V19" i="53"/>
  <c r="U19" i="53"/>
  <c r="P19" i="53"/>
  <c r="O19" i="53"/>
  <c r="N19" i="53"/>
  <c r="M19" i="53"/>
  <c r="X18" i="53"/>
  <c r="W18" i="53"/>
  <c r="V18" i="53"/>
  <c r="U18" i="53"/>
  <c r="P18" i="53"/>
  <c r="O18" i="53"/>
  <c r="N18" i="53"/>
  <c r="M18" i="53"/>
  <c r="X17" i="53"/>
  <c r="W17" i="53"/>
  <c r="V17" i="53"/>
  <c r="U17" i="53"/>
  <c r="P17" i="53"/>
  <c r="O17" i="53"/>
  <c r="N17" i="53"/>
  <c r="M17" i="53"/>
  <c r="X16" i="53"/>
  <c r="W16" i="53"/>
  <c r="V16" i="53"/>
  <c r="U16" i="53"/>
  <c r="P16" i="53"/>
  <c r="O16" i="53"/>
  <c r="N16" i="53"/>
  <c r="M16" i="53"/>
  <c r="X15" i="53"/>
  <c r="W15" i="53"/>
  <c r="V15" i="53"/>
  <c r="U15" i="53"/>
  <c r="P15" i="53"/>
  <c r="O15" i="53"/>
  <c r="N15" i="53"/>
  <c r="M15" i="53"/>
  <c r="X6" i="60"/>
  <c r="W6" i="60"/>
  <c r="V6" i="60"/>
  <c r="U6" i="60"/>
  <c r="P6" i="60"/>
  <c r="O6" i="60"/>
  <c r="N6" i="60"/>
  <c r="M6" i="60"/>
  <c r="P4" i="53"/>
  <c r="X8" i="51"/>
  <c r="W8" i="51"/>
  <c r="V8" i="51"/>
  <c r="U8" i="51"/>
  <c r="P8" i="51"/>
  <c r="O8" i="51"/>
  <c r="N8" i="51"/>
  <c r="M8" i="51"/>
  <c r="X7" i="51"/>
  <c r="W7" i="51"/>
  <c r="V7" i="51"/>
  <c r="U7" i="51"/>
  <c r="P7" i="51"/>
  <c r="O7" i="51"/>
  <c r="N7" i="51"/>
  <c r="M7" i="51"/>
  <c r="X6" i="51"/>
  <c r="W6" i="51"/>
  <c r="V6" i="51"/>
  <c r="U6" i="51"/>
  <c r="P6" i="51"/>
  <c r="O6" i="51"/>
  <c r="N6" i="51"/>
  <c r="M6" i="51"/>
  <c r="X9" i="51"/>
  <c r="W9" i="51"/>
  <c r="V9" i="51"/>
  <c r="U9" i="51"/>
  <c r="P9" i="51"/>
  <c r="O9" i="51"/>
  <c r="N9" i="51"/>
  <c r="M9" i="51"/>
  <c r="X11" i="51"/>
  <c r="W11" i="51"/>
  <c r="V11" i="51"/>
  <c r="U11" i="51"/>
  <c r="P11" i="51"/>
  <c r="O11" i="51"/>
  <c r="N11" i="51"/>
  <c r="M11" i="51"/>
  <c r="X5" i="51"/>
  <c r="W5" i="51"/>
  <c r="V5" i="51"/>
  <c r="U5" i="51"/>
  <c r="P5" i="51"/>
  <c r="O5" i="51"/>
  <c r="N5" i="51"/>
  <c r="M5" i="51"/>
  <c r="X10" i="48"/>
  <c r="W10" i="48"/>
  <c r="V10" i="48"/>
  <c r="U10" i="48"/>
  <c r="P10" i="48"/>
  <c r="O10" i="48"/>
  <c r="N10" i="48"/>
  <c r="M10" i="48"/>
  <c r="X9" i="48"/>
  <c r="W9" i="48"/>
  <c r="V9" i="48"/>
  <c r="U9" i="48"/>
  <c r="P9" i="48"/>
  <c r="O9" i="48"/>
  <c r="N9" i="48"/>
  <c r="M9" i="48"/>
  <c r="X8" i="48"/>
  <c r="W8" i="48"/>
  <c r="V8" i="48"/>
  <c r="U8" i="48"/>
  <c r="P8" i="48"/>
  <c r="O8" i="48"/>
  <c r="N8" i="48"/>
  <c r="M8" i="48"/>
  <c r="X7" i="48"/>
  <c r="W7" i="48"/>
  <c r="V7" i="48"/>
  <c r="U7" i="48"/>
  <c r="P7" i="48"/>
  <c r="O7" i="48"/>
  <c r="N7" i="48"/>
  <c r="M7" i="48"/>
  <c r="X6" i="48"/>
  <c r="W6" i="48"/>
  <c r="V6" i="48"/>
  <c r="U6" i="48"/>
  <c r="P6" i="48"/>
  <c r="O6" i="48"/>
  <c r="N6" i="48"/>
  <c r="M6" i="48"/>
  <c r="X5" i="48"/>
  <c r="W5" i="48"/>
  <c r="V5" i="48"/>
  <c r="U5" i="48"/>
  <c r="P5" i="48"/>
  <c r="O5" i="48"/>
  <c r="N5" i="48"/>
  <c r="M5" i="48"/>
  <c r="X10" i="47" l="1"/>
  <c r="W10" i="47"/>
  <c r="V10" i="47"/>
  <c r="U10" i="47"/>
  <c r="X9" i="47"/>
  <c r="W9" i="47"/>
  <c r="V9" i="47"/>
  <c r="U9" i="47"/>
  <c r="X8" i="47"/>
  <c r="W8" i="47"/>
  <c r="V8" i="47"/>
  <c r="U8" i="47"/>
  <c r="X7" i="47"/>
  <c r="W7" i="47"/>
  <c r="V7" i="47"/>
  <c r="U7" i="47"/>
  <c r="X6" i="47"/>
  <c r="W6" i="47"/>
  <c r="V6" i="47"/>
  <c r="U6" i="47"/>
  <c r="X5" i="47"/>
  <c r="W5" i="47"/>
  <c r="V5" i="47"/>
  <c r="U5" i="47"/>
  <c r="P10" i="47"/>
  <c r="O10" i="47"/>
  <c r="N10" i="47"/>
  <c r="M10" i="47"/>
  <c r="P9" i="47"/>
  <c r="O9" i="47"/>
  <c r="N9" i="47"/>
  <c r="M9" i="47"/>
  <c r="P8" i="47"/>
  <c r="O8" i="47"/>
  <c r="N8" i="47"/>
  <c r="M8" i="47"/>
  <c r="P7" i="47"/>
  <c r="O7" i="47"/>
  <c r="N7" i="47"/>
  <c r="M7" i="47"/>
  <c r="P6" i="47"/>
  <c r="O6" i="47"/>
  <c r="N6" i="47"/>
  <c r="M6" i="47"/>
  <c r="P5" i="47"/>
  <c r="O5" i="47"/>
  <c r="N5" i="47"/>
  <c r="M5" i="47"/>
  <c r="P18" i="46"/>
  <c r="O18" i="46"/>
  <c r="N18" i="46"/>
  <c r="M18" i="46"/>
  <c r="P17" i="46"/>
  <c r="O17" i="46"/>
  <c r="N17" i="46"/>
  <c r="M17" i="46"/>
  <c r="P16" i="46"/>
  <c r="O16" i="46"/>
  <c r="N16" i="46"/>
  <c r="M16" i="46"/>
  <c r="P15" i="46"/>
  <c r="O15" i="46"/>
  <c r="N15" i="46"/>
  <c r="M15" i="46"/>
  <c r="P14" i="46"/>
  <c r="O14" i="46"/>
  <c r="N14" i="46"/>
  <c r="M14" i="46"/>
  <c r="P13" i="46"/>
  <c r="O13" i="46"/>
  <c r="N13" i="46"/>
  <c r="M13" i="46"/>
  <c r="P12" i="46"/>
  <c r="O12" i="46"/>
  <c r="N12" i="46"/>
  <c r="M12" i="46"/>
  <c r="P11" i="46"/>
  <c r="O11" i="46"/>
  <c r="N11" i="46"/>
  <c r="M11" i="46"/>
  <c r="P10" i="46"/>
  <c r="O10" i="46"/>
  <c r="N10" i="46"/>
  <c r="M10" i="46"/>
  <c r="P9" i="46"/>
  <c r="O9" i="46"/>
  <c r="N9" i="46"/>
  <c r="M9" i="46"/>
  <c r="P8" i="46"/>
  <c r="O8" i="46"/>
  <c r="N8" i="46"/>
  <c r="M8" i="46"/>
  <c r="P7" i="46"/>
  <c r="O7" i="46"/>
  <c r="N7" i="46"/>
  <c r="M7" i="46"/>
  <c r="P6" i="46"/>
  <c r="O6" i="46"/>
  <c r="N6" i="46"/>
  <c r="M6" i="46"/>
  <c r="P5" i="46"/>
  <c r="O5" i="46"/>
  <c r="N5" i="46"/>
  <c r="M5" i="46"/>
  <c r="X72" i="58"/>
  <c r="W72" i="58"/>
  <c r="V72" i="58"/>
  <c r="U72" i="58"/>
  <c r="X71" i="58"/>
  <c r="W71" i="58"/>
  <c r="V71" i="58"/>
  <c r="U71" i="58"/>
  <c r="X70" i="58"/>
  <c r="W70" i="58"/>
  <c r="V70" i="58"/>
  <c r="U70" i="58"/>
  <c r="X69" i="58"/>
  <c r="W69" i="58"/>
  <c r="V69" i="58"/>
  <c r="U69" i="58"/>
  <c r="X68" i="58"/>
  <c r="W68" i="58"/>
  <c r="V68" i="58"/>
  <c r="U68" i="58"/>
  <c r="X67" i="58"/>
  <c r="W67" i="58"/>
  <c r="V67" i="58"/>
  <c r="U67" i="58"/>
  <c r="X66" i="58"/>
  <c r="W66" i="58"/>
  <c r="V66" i="58"/>
  <c r="U66" i="58"/>
  <c r="X65" i="58"/>
  <c r="W65" i="58"/>
  <c r="V65" i="58"/>
  <c r="U65" i="58"/>
  <c r="X64" i="58"/>
  <c r="W64" i="58"/>
  <c r="V64" i="58"/>
  <c r="U64" i="58"/>
  <c r="X63" i="58"/>
  <c r="W63" i="58"/>
  <c r="V63" i="58"/>
  <c r="U63" i="58"/>
  <c r="X62" i="58"/>
  <c r="W62" i="58"/>
  <c r="V62" i="58"/>
  <c r="U62" i="58"/>
  <c r="X61" i="58"/>
  <c r="W61" i="58"/>
  <c r="V61" i="58"/>
  <c r="U61" i="58"/>
  <c r="X60" i="58"/>
  <c r="W60" i="58"/>
  <c r="V60" i="58"/>
  <c r="U60" i="58"/>
  <c r="X59" i="58"/>
  <c r="W59" i="58"/>
  <c r="V59" i="58"/>
  <c r="U59" i="58"/>
  <c r="X58" i="58"/>
  <c r="W58" i="58"/>
  <c r="V58" i="58"/>
  <c r="U58" i="58"/>
  <c r="X57" i="58"/>
  <c r="W57" i="58"/>
  <c r="V57" i="58"/>
  <c r="U57" i="58"/>
  <c r="X56" i="58"/>
  <c r="W56" i="58"/>
  <c r="V56" i="58"/>
  <c r="U56" i="58"/>
  <c r="X55" i="58"/>
  <c r="W55" i="58"/>
  <c r="V55" i="58"/>
  <c r="U55" i="58"/>
  <c r="X54" i="58"/>
  <c r="W54" i="58"/>
  <c r="V54" i="58"/>
  <c r="U54" i="58"/>
  <c r="X53" i="58"/>
  <c r="W53" i="58"/>
  <c r="V53" i="58"/>
  <c r="U53" i="58"/>
  <c r="X52" i="58"/>
  <c r="W52" i="58"/>
  <c r="V52" i="58"/>
  <c r="U52" i="58"/>
  <c r="X51" i="58"/>
  <c r="W51" i="58"/>
  <c r="V51" i="58"/>
  <c r="U51" i="58"/>
  <c r="X50" i="58"/>
  <c r="W50" i="58"/>
  <c r="V50" i="58"/>
  <c r="U50" i="58"/>
  <c r="X49" i="58"/>
  <c r="W49" i="58"/>
  <c r="V49" i="58"/>
  <c r="U49" i="58"/>
  <c r="X48" i="58"/>
  <c r="W48" i="58"/>
  <c r="V48" i="58"/>
  <c r="U48" i="58"/>
  <c r="X47" i="58"/>
  <c r="W47" i="58"/>
  <c r="V47" i="58"/>
  <c r="U47" i="58"/>
  <c r="X46" i="58"/>
  <c r="W46" i="58"/>
  <c r="V46" i="58"/>
  <c r="U46" i="58"/>
  <c r="P72" i="58"/>
  <c r="O72" i="58"/>
  <c r="N72" i="58"/>
  <c r="M72" i="58"/>
  <c r="P71" i="58"/>
  <c r="O71" i="58"/>
  <c r="N71" i="58"/>
  <c r="M71" i="58"/>
  <c r="P70" i="58"/>
  <c r="O70" i="58"/>
  <c r="N70" i="58"/>
  <c r="M70" i="58"/>
  <c r="P69" i="58"/>
  <c r="O69" i="58"/>
  <c r="N69" i="58"/>
  <c r="M69" i="58"/>
  <c r="P68" i="58"/>
  <c r="O68" i="58"/>
  <c r="N68" i="58"/>
  <c r="M68" i="58"/>
  <c r="P67" i="58"/>
  <c r="O67" i="58"/>
  <c r="N67" i="58"/>
  <c r="M67" i="58"/>
  <c r="P66" i="58"/>
  <c r="O66" i="58"/>
  <c r="N66" i="58"/>
  <c r="M66" i="58"/>
  <c r="P65" i="58"/>
  <c r="O65" i="58"/>
  <c r="N65" i="58"/>
  <c r="M65" i="58"/>
  <c r="P64" i="58"/>
  <c r="O64" i="58"/>
  <c r="N64" i="58"/>
  <c r="M64" i="58"/>
  <c r="P63" i="58"/>
  <c r="O63" i="58"/>
  <c r="N63" i="58"/>
  <c r="M63" i="58"/>
  <c r="P62" i="58"/>
  <c r="O62" i="58"/>
  <c r="N62" i="58"/>
  <c r="M62" i="58"/>
  <c r="P61" i="58"/>
  <c r="O61" i="58"/>
  <c r="N61" i="58"/>
  <c r="M61" i="58"/>
  <c r="P60" i="58"/>
  <c r="O60" i="58"/>
  <c r="N60" i="58"/>
  <c r="M60" i="58"/>
  <c r="P59" i="58"/>
  <c r="O59" i="58"/>
  <c r="N59" i="58"/>
  <c r="M59" i="58"/>
  <c r="P58" i="58"/>
  <c r="O58" i="58"/>
  <c r="N58" i="58"/>
  <c r="M58" i="58"/>
  <c r="P57" i="58"/>
  <c r="O57" i="58"/>
  <c r="N57" i="58"/>
  <c r="M57" i="58"/>
  <c r="P56" i="58"/>
  <c r="O56" i="58"/>
  <c r="N56" i="58"/>
  <c r="M56" i="58"/>
  <c r="P55" i="58"/>
  <c r="O55" i="58"/>
  <c r="N55" i="58"/>
  <c r="M55" i="58"/>
  <c r="P54" i="58"/>
  <c r="O54" i="58"/>
  <c r="N54" i="58"/>
  <c r="M54" i="58"/>
  <c r="P53" i="58"/>
  <c r="O53" i="58"/>
  <c r="N53" i="58"/>
  <c r="M53" i="58"/>
  <c r="P52" i="58"/>
  <c r="O52" i="58"/>
  <c r="N52" i="58"/>
  <c r="M52" i="58"/>
  <c r="P51" i="58"/>
  <c r="O51" i="58"/>
  <c r="N51" i="58"/>
  <c r="M51" i="58"/>
  <c r="P50" i="58"/>
  <c r="O50" i="58"/>
  <c r="N50" i="58"/>
  <c r="M50" i="58"/>
  <c r="P49" i="58"/>
  <c r="O49" i="58"/>
  <c r="N49" i="58"/>
  <c r="M49" i="58"/>
  <c r="P48" i="58"/>
  <c r="O48" i="58"/>
  <c r="N48" i="58"/>
  <c r="M48" i="58"/>
  <c r="P47" i="58"/>
  <c r="O47" i="58"/>
  <c r="N47" i="58"/>
  <c r="M47" i="58"/>
  <c r="P46" i="58"/>
  <c r="O46" i="58"/>
  <c r="N46" i="58"/>
  <c r="M46" i="58"/>
  <c r="X44" i="58"/>
  <c r="W44" i="58"/>
  <c r="V44" i="58"/>
  <c r="U44" i="58"/>
  <c r="X43" i="58"/>
  <c r="W43" i="58"/>
  <c r="V43" i="58"/>
  <c r="U43" i="58"/>
  <c r="X42" i="58"/>
  <c r="W42" i="58"/>
  <c r="V42" i="58"/>
  <c r="U42" i="58"/>
  <c r="X41" i="58"/>
  <c r="W41" i="58"/>
  <c r="V41" i="58"/>
  <c r="U41" i="58"/>
  <c r="X40" i="58"/>
  <c r="W40" i="58"/>
  <c r="V40" i="58"/>
  <c r="U40" i="58"/>
  <c r="X39" i="58"/>
  <c r="W39" i="58"/>
  <c r="V39" i="58"/>
  <c r="U39" i="58"/>
  <c r="X38" i="58"/>
  <c r="W38" i="58"/>
  <c r="V38" i="58"/>
  <c r="U38" i="58"/>
  <c r="X37" i="58"/>
  <c r="W37" i="58"/>
  <c r="V37" i="58"/>
  <c r="U37" i="58"/>
  <c r="X36" i="58"/>
  <c r="W36" i="58"/>
  <c r="V36" i="58"/>
  <c r="U36" i="58"/>
  <c r="X35" i="58"/>
  <c r="W35" i="58"/>
  <c r="V35" i="58"/>
  <c r="U35" i="58"/>
  <c r="X34" i="58"/>
  <c r="W34" i="58"/>
  <c r="V34" i="58"/>
  <c r="U34" i="58"/>
  <c r="X33" i="58"/>
  <c r="W33" i="58"/>
  <c r="V33" i="58"/>
  <c r="U33" i="58"/>
  <c r="X32" i="58"/>
  <c r="W32" i="58"/>
  <c r="V32" i="58"/>
  <c r="U32" i="58"/>
  <c r="X31" i="58"/>
  <c r="W31" i="58"/>
  <c r="V31" i="58"/>
  <c r="U31" i="58"/>
  <c r="X30" i="58"/>
  <c r="W30" i="58"/>
  <c r="V30" i="58"/>
  <c r="U30" i="58"/>
  <c r="X29" i="58"/>
  <c r="W29" i="58"/>
  <c r="V29" i="58"/>
  <c r="U29" i="58"/>
  <c r="X28" i="58"/>
  <c r="W28" i="58"/>
  <c r="V28" i="58"/>
  <c r="U28" i="58"/>
  <c r="X27" i="58"/>
  <c r="W27" i="58"/>
  <c r="V27" i="58"/>
  <c r="U27" i="58"/>
  <c r="X26" i="58"/>
  <c r="W26" i="58"/>
  <c r="V26" i="58"/>
  <c r="U26" i="58"/>
  <c r="X25" i="58"/>
  <c r="W25" i="58"/>
  <c r="V25" i="58"/>
  <c r="U25" i="58"/>
  <c r="X24" i="58"/>
  <c r="W24" i="58"/>
  <c r="V24" i="58"/>
  <c r="U24" i="58"/>
  <c r="X23" i="58"/>
  <c r="W23" i="58"/>
  <c r="V23" i="58"/>
  <c r="U23" i="58"/>
  <c r="X22" i="58"/>
  <c r="W22" i="58"/>
  <c r="V22" i="58"/>
  <c r="U22" i="58"/>
  <c r="X19" i="58"/>
  <c r="W19" i="58"/>
  <c r="V19" i="58"/>
  <c r="U19" i="58"/>
  <c r="X18" i="58"/>
  <c r="W18" i="58"/>
  <c r="V18" i="58"/>
  <c r="U18" i="58"/>
  <c r="X17" i="58"/>
  <c r="W17" i="58"/>
  <c r="V17" i="58"/>
  <c r="U17" i="58"/>
  <c r="X16" i="58"/>
  <c r="W16" i="58"/>
  <c r="V16" i="58"/>
  <c r="U16" i="58"/>
  <c r="X15" i="58"/>
  <c r="W15" i="58"/>
  <c r="V15" i="58"/>
  <c r="U15" i="58"/>
  <c r="X14" i="58"/>
  <c r="W14" i="58"/>
  <c r="V14" i="58"/>
  <c r="U14" i="58"/>
  <c r="X13" i="58"/>
  <c r="W13" i="58"/>
  <c r="V13" i="58"/>
  <c r="U13" i="58"/>
  <c r="X12" i="58"/>
  <c r="W12" i="58"/>
  <c r="V12" i="58"/>
  <c r="U12" i="58"/>
  <c r="X11" i="58"/>
  <c r="W11" i="58"/>
  <c r="V11" i="58"/>
  <c r="U11" i="58"/>
  <c r="X10" i="58"/>
  <c r="W10" i="58"/>
  <c r="V10" i="58"/>
  <c r="U10" i="58"/>
  <c r="X9" i="58"/>
  <c r="W9" i="58"/>
  <c r="V9" i="58"/>
  <c r="U9" i="58"/>
  <c r="X8" i="58"/>
  <c r="W8" i="58"/>
  <c r="V8" i="58"/>
  <c r="U8" i="58"/>
  <c r="X7" i="58"/>
  <c r="W7" i="58"/>
  <c r="V7" i="58"/>
  <c r="U7" i="58"/>
  <c r="X6" i="58"/>
  <c r="W6" i="58"/>
  <c r="V6" i="58"/>
  <c r="U6" i="58"/>
  <c r="X5" i="58"/>
  <c r="W5" i="58"/>
  <c r="V5" i="58"/>
  <c r="U5" i="58"/>
  <c r="P41" i="58"/>
  <c r="O41" i="58"/>
  <c r="N41" i="58"/>
  <c r="M41" i="58"/>
  <c r="P40" i="58"/>
  <c r="O40" i="58"/>
  <c r="N40" i="58"/>
  <c r="M40" i="58"/>
  <c r="P39" i="58"/>
  <c r="O39" i="58"/>
  <c r="N39" i="58"/>
  <c r="M39" i="58"/>
  <c r="P38" i="58"/>
  <c r="O38" i="58"/>
  <c r="N38" i="58"/>
  <c r="M38" i="58"/>
  <c r="P37" i="58"/>
  <c r="O37" i="58"/>
  <c r="N37" i="58"/>
  <c r="M37" i="58"/>
  <c r="P36" i="58"/>
  <c r="O36" i="58"/>
  <c r="N36" i="58"/>
  <c r="M36" i="58"/>
  <c r="P35" i="58"/>
  <c r="O35" i="58"/>
  <c r="N35" i="58"/>
  <c r="M35" i="58"/>
  <c r="P34" i="58"/>
  <c r="O34" i="58"/>
  <c r="N34" i="58"/>
  <c r="M34" i="58"/>
  <c r="P33" i="58"/>
  <c r="O33" i="58"/>
  <c r="N33" i="58"/>
  <c r="M33" i="58"/>
  <c r="P32" i="58"/>
  <c r="O32" i="58"/>
  <c r="N32" i="58"/>
  <c r="M32" i="58"/>
  <c r="P31" i="58"/>
  <c r="O31" i="58"/>
  <c r="N31" i="58"/>
  <c r="M31" i="58"/>
  <c r="P30" i="58"/>
  <c r="O30" i="58"/>
  <c r="N30" i="58"/>
  <c r="M30" i="58"/>
  <c r="P29" i="58"/>
  <c r="O29" i="58"/>
  <c r="N29" i="58"/>
  <c r="M29" i="58"/>
  <c r="P28" i="58"/>
  <c r="O28" i="58"/>
  <c r="N28" i="58"/>
  <c r="M28" i="58"/>
  <c r="P27" i="58"/>
  <c r="O27" i="58"/>
  <c r="N27" i="58"/>
  <c r="M27" i="58"/>
  <c r="P26" i="58"/>
  <c r="O26" i="58"/>
  <c r="N26" i="58"/>
  <c r="M26" i="58"/>
  <c r="P25" i="58"/>
  <c r="O25" i="58"/>
  <c r="N25" i="58"/>
  <c r="M25" i="58"/>
  <c r="P24" i="58"/>
  <c r="O24" i="58"/>
  <c r="N24" i="58"/>
  <c r="M24" i="58"/>
  <c r="P23" i="58"/>
  <c r="O23" i="58"/>
  <c r="N23" i="58"/>
  <c r="M23" i="58"/>
  <c r="P22" i="58"/>
  <c r="O22" i="58"/>
  <c r="N22" i="58"/>
  <c r="M22" i="58"/>
  <c r="P19" i="58"/>
  <c r="O19" i="58"/>
  <c r="N19" i="58"/>
  <c r="M19" i="58"/>
  <c r="P18" i="58"/>
  <c r="O18" i="58"/>
  <c r="N18" i="58"/>
  <c r="M18" i="58"/>
  <c r="P17" i="58"/>
  <c r="O17" i="58"/>
  <c r="N17" i="58"/>
  <c r="M17" i="58"/>
  <c r="P16" i="58"/>
  <c r="O16" i="58"/>
  <c r="N16" i="58"/>
  <c r="M16" i="58"/>
  <c r="P15" i="58"/>
  <c r="O15" i="58"/>
  <c r="N15" i="58"/>
  <c r="M15" i="58"/>
  <c r="P14" i="58"/>
  <c r="O14" i="58"/>
  <c r="N14" i="58"/>
  <c r="M14" i="58"/>
  <c r="P13" i="58"/>
  <c r="O13" i="58"/>
  <c r="N13" i="58"/>
  <c r="M13" i="58"/>
  <c r="P12" i="58"/>
  <c r="O12" i="58"/>
  <c r="N12" i="58"/>
  <c r="M12" i="58"/>
  <c r="P11" i="58"/>
  <c r="O11" i="58"/>
  <c r="N11" i="58"/>
  <c r="M11" i="58"/>
  <c r="P10" i="58"/>
  <c r="O10" i="58"/>
  <c r="N10" i="58"/>
  <c r="M10" i="58"/>
  <c r="P9" i="58"/>
  <c r="O9" i="58"/>
  <c r="N9" i="58"/>
  <c r="M9" i="58"/>
  <c r="P8" i="58"/>
  <c r="O8" i="58"/>
  <c r="N8" i="58"/>
  <c r="M8" i="58"/>
  <c r="P7" i="58"/>
  <c r="O7" i="58"/>
  <c r="N7" i="58"/>
  <c r="M7" i="58"/>
  <c r="P6" i="58"/>
  <c r="O6" i="58"/>
  <c r="N6" i="58"/>
  <c r="M6" i="58"/>
  <c r="P5" i="58"/>
  <c r="O5" i="58"/>
  <c r="N5" i="58"/>
  <c r="M5" i="58"/>
  <c r="P44" i="58"/>
  <c r="O44" i="58"/>
  <c r="N44" i="58"/>
  <c r="M44" i="58"/>
  <c r="P43" i="58"/>
  <c r="O43" i="58"/>
  <c r="N43" i="58"/>
  <c r="M43" i="58"/>
  <c r="P42" i="58"/>
  <c r="O42" i="58"/>
  <c r="N42" i="58"/>
  <c r="M42" i="58"/>
  <c r="P4" i="48"/>
  <c r="P2" i="48" s="1"/>
  <c r="N8" i="55" s="1"/>
  <c r="U11" i="55"/>
  <c r="U10" i="55"/>
  <c r="U9" i="55"/>
  <c r="U8" i="55"/>
  <c r="U7" i="55"/>
  <c r="U6" i="55"/>
  <c r="U5" i="55"/>
  <c r="O11" i="55"/>
  <c r="O10" i="55"/>
  <c r="O9" i="55"/>
  <c r="O8" i="55"/>
  <c r="O7" i="55"/>
  <c r="O5" i="55"/>
  <c r="X27" i="53" l="1"/>
  <c r="W27" i="53"/>
  <c r="V27" i="53"/>
  <c r="U27" i="53"/>
  <c r="P27" i="53"/>
  <c r="O27" i="53"/>
  <c r="N27" i="53"/>
  <c r="M27" i="53"/>
  <c r="X26" i="53"/>
  <c r="W26" i="53"/>
  <c r="V26" i="53"/>
  <c r="U26" i="53"/>
  <c r="P26" i="53"/>
  <c r="O26" i="53"/>
  <c r="N26" i="53"/>
  <c r="M26" i="53"/>
  <c r="X25" i="53"/>
  <c r="W25" i="53"/>
  <c r="V25" i="53"/>
  <c r="U25" i="53"/>
  <c r="P25" i="53"/>
  <c r="O25" i="53"/>
  <c r="N25" i="53"/>
  <c r="M25" i="53"/>
  <c r="X4" i="53"/>
  <c r="W4" i="53"/>
  <c r="V4" i="53"/>
  <c r="V2" i="53" s="1"/>
  <c r="R11" i="55" s="1"/>
  <c r="U4" i="53"/>
  <c r="O4" i="53"/>
  <c r="N4" i="53"/>
  <c r="M4" i="53"/>
  <c r="X7" i="60"/>
  <c r="W7" i="60"/>
  <c r="V7" i="60"/>
  <c r="U7" i="60"/>
  <c r="P7" i="60"/>
  <c r="O7" i="60"/>
  <c r="N7" i="60"/>
  <c r="M7" i="60"/>
  <c r="X5" i="60"/>
  <c r="W5" i="60"/>
  <c r="V5" i="60"/>
  <c r="U5" i="60"/>
  <c r="P5" i="60"/>
  <c r="O5" i="60"/>
  <c r="N5" i="60"/>
  <c r="M5" i="60"/>
  <c r="X4" i="60"/>
  <c r="X2" i="60" s="1"/>
  <c r="T10" i="55" s="1"/>
  <c r="W4" i="60"/>
  <c r="V4" i="60"/>
  <c r="V2" i="60" s="1"/>
  <c r="R10" i="55" s="1"/>
  <c r="U4" i="60"/>
  <c r="U2" i="60" s="1"/>
  <c r="Q10" i="55" s="1"/>
  <c r="P4" i="60"/>
  <c r="P2" i="60" s="1"/>
  <c r="N10" i="55" s="1"/>
  <c r="O4" i="60"/>
  <c r="N4" i="60"/>
  <c r="M4" i="60"/>
  <c r="M2" i="60" s="1"/>
  <c r="K10" i="55" s="1"/>
  <c r="N2" i="60"/>
  <c r="L10" i="55" s="1"/>
  <c r="X4" i="51"/>
  <c r="W4" i="51"/>
  <c r="W2" i="51" s="1"/>
  <c r="S9" i="55" s="1"/>
  <c r="V4" i="51"/>
  <c r="V2" i="51" s="1"/>
  <c r="R9" i="55" s="1"/>
  <c r="U4" i="51"/>
  <c r="P4" i="51"/>
  <c r="O4" i="51"/>
  <c r="N4" i="51"/>
  <c r="M4" i="51"/>
  <c r="X4" i="48"/>
  <c r="X2" i="48" s="1"/>
  <c r="T8" i="55" s="1"/>
  <c r="W4" i="48"/>
  <c r="W2" i="48" s="1"/>
  <c r="S8" i="55" s="1"/>
  <c r="V4" i="48"/>
  <c r="V2" i="48" s="1"/>
  <c r="R8" i="55" s="1"/>
  <c r="U4" i="48"/>
  <c r="U2" i="48" s="1"/>
  <c r="Q8" i="55" s="1"/>
  <c r="O4" i="48"/>
  <c r="O2" i="48" s="1"/>
  <c r="M8" i="55" s="1"/>
  <c r="N4" i="48"/>
  <c r="N2" i="48" s="1"/>
  <c r="L8" i="55" s="1"/>
  <c r="M4" i="48"/>
  <c r="M2" i="48" s="1"/>
  <c r="K8" i="55" s="1"/>
  <c r="X4" i="47"/>
  <c r="X2" i="47" s="1"/>
  <c r="T7" i="55" s="1"/>
  <c r="W4" i="47"/>
  <c r="V4" i="47"/>
  <c r="V2" i="47" s="1"/>
  <c r="R7" i="55" s="1"/>
  <c r="U4" i="47"/>
  <c r="U2" i="47" s="1"/>
  <c r="Q7" i="55" s="1"/>
  <c r="P4" i="47"/>
  <c r="P2" i="47" s="1"/>
  <c r="N7" i="55" s="1"/>
  <c r="O4" i="47"/>
  <c r="O2" i="47" s="1"/>
  <c r="M7" i="55" s="1"/>
  <c r="N4" i="47"/>
  <c r="N2" i="47" s="1"/>
  <c r="L7" i="55" s="1"/>
  <c r="M4" i="47"/>
  <c r="M2" i="47" s="1"/>
  <c r="K7" i="55" s="1"/>
  <c r="W2" i="47"/>
  <c r="S7" i="55" s="1"/>
  <c r="X4" i="46"/>
  <c r="W4" i="46"/>
  <c r="V4" i="46"/>
  <c r="U4" i="46"/>
  <c r="P4" i="46"/>
  <c r="O4" i="46"/>
  <c r="N4" i="46"/>
  <c r="M4" i="46"/>
  <c r="X45" i="58"/>
  <c r="W45" i="58"/>
  <c r="V45" i="58"/>
  <c r="U45" i="58"/>
  <c r="P45" i="58"/>
  <c r="O45" i="58"/>
  <c r="N45" i="58"/>
  <c r="M45" i="58"/>
  <c r="O6" i="55"/>
  <c r="W2" i="53" l="1"/>
  <c r="S11" i="55" s="1"/>
  <c r="X2" i="53"/>
  <c r="T11" i="55" s="1"/>
  <c r="U2" i="53"/>
  <c r="Q11" i="55" s="1"/>
  <c r="W2" i="60"/>
  <c r="S10" i="55" s="1"/>
  <c r="O2" i="60"/>
  <c r="M10" i="55" s="1"/>
  <c r="G10" i="55" s="1"/>
  <c r="P2" i="53"/>
  <c r="N11" i="55" s="1"/>
  <c r="O2" i="53"/>
  <c r="M11" i="55" s="1"/>
  <c r="N2" i="53"/>
  <c r="L11" i="55" s="1"/>
  <c r="X2" i="51"/>
  <c r="T9" i="55" s="1"/>
  <c r="N2" i="51"/>
  <c r="L9" i="55" s="1"/>
  <c r="U2" i="51"/>
  <c r="Q9" i="55" s="1"/>
  <c r="O2" i="51"/>
  <c r="M9" i="55" s="1"/>
  <c r="P2" i="51"/>
  <c r="N9" i="55" s="1"/>
  <c r="M2" i="51"/>
  <c r="K9" i="55" s="1"/>
  <c r="G7" i="55"/>
  <c r="M2" i="46"/>
  <c r="K6" i="55" s="1"/>
  <c r="P2" i="46"/>
  <c r="N6" i="55" s="1"/>
  <c r="O2" i="46"/>
  <c r="M6" i="55" s="1"/>
  <c r="U2" i="46"/>
  <c r="Q6" i="55" s="1"/>
  <c r="X2" i="46"/>
  <c r="T6" i="55" s="1"/>
  <c r="N2" i="46"/>
  <c r="L6" i="55" s="1"/>
  <c r="V2" i="46"/>
  <c r="R6" i="55" s="1"/>
  <c r="W2" i="46"/>
  <c r="S6" i="55" s="1"/>
  <c r="V2" i="58"/>
  <c r="R5" i="55" s="1"/>
  <c r="W2" i="58"/>
  <c r="S5" i="55" s="1"/>
  <c r="X2" i="58"/>
  <c r="T5" i="55" s="1"/>
  <c r="U2" i="58"/>
  <c r="Q5" i="55" s="1"/>
  <c r="M2" i="53"/>
  <c r="K11" i="55" s="1"/>
  <c r="M2" i="58"/>
  <c r="K5" i="55" s="1"/>
  <c r="N2" i="58"/>
  <c r="L5" i="55" s="1"/>
  <c r="O2" i="58"/>
  <c r="M5" i="55" s="1"/>
  <c r="P2" i="58"/>
  <c r="N5" i="55" s="1"/>
  <c r="G8" i="55"/>
  <c r="G11" i="55" l="1"/>
  <c r="G9" i="55"/>
  <c r="G6" i="55"/>
  <c r="G5" i="55"/>
  <c r="G12" i="55" l="1"/>
</calcChain>
</file>

<file path=xl/sharedStrings.xml><?xml version="1.0" encoding="utf-8"?>
<sst xmlns="http://schemas.openxmlformats.org/spreadsheetml/2006/main" count="1054" uniqueCount="316">
  <si>
    <t>Revision History</t>
  </si>
  <si>
    <r>
      <t xml:space="preserve">LEGEND : no.of </t>
    </r>
    <r>
      <rPr>
        <b/>
        <sz val="14"/>
        <color rgb="FFFF0000"/>
        <rFont val="Calibri"/>
        <family val="2"/>
        <scheme val="minor"/>
      </rPr>
      <t>RED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rgb="FFFFFF00"/>
        <rFont val="Calibri"/>
        <family val="2"/>
        <scheme val="minor"/>
      </rPr>
      <t>YELLOW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rgb="FF00B050"/>
        <rFont val="Calibri"/>
        <family val="2"/>
        <scheme val="minor"/>
      </rPr>
      <t>GREEN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theme="4" tint="0.39997558519241921"/>
        <rFont val="Calibri"/>
        <family val="2"/>
        <scheme val="minor"/>
      </rPr>
      <t>Not assessable</t>
    </r>
  </si>
  <si>
    <t>Data for graphs (Not to be presented )</t>
  </si>
  <si>
    <t>Data for Graphs-Current status</t>
  </si>
  <si>
    <t>Data for Graphs-Projected Status at SOP</t>
  </si>
  <si>
    <t>#</t>
  </si>
  <si>
    <t>Attribute</t>
  </si>
  <si>
    <t>Total 
targets</t>
  </si>
  <si>
    <t>Projected Status at ESO</t>
  </si>
  <si>
    <t>Status of Assessed targets</t>
  </si>
  <si>
    <t>Not Assessable</t>
  </si>
  <si>
    <t>Assessable</t>
  </si>
  <si>
    <t>Target</t>
  </si>
  <si>
    <r>
      <rPr>
        <sz val="26"/>
        <color rgb="FF000000"/>
        <rFont val="Calibri"/>
        <family val="2"/>
      </rPr>
      <t xml:space="preserve">Current status </t>
    </r>
    <r>
      <rPr>
        <b/>
        <sz val="26"/>
        <color rgb="FF000000"/>
        <rFont val="Calibri"/>
        <family val="2"/>
      </rPr>
      <t xml:space="preserve">
</t>
    </r>
    <r>
      <rPr>
        <b/>
        <sz val="6.5"/>
        <color rgb="FFFF0000"/>
        <rFont val="Calibri"/>
        <family val="2"/>
      </rPr>
      <t/>
    </r>
  </si>
  <si>
    <t>SOP Status (F)</t>
  </si>
  <si>
    <t>Red</t>
  </si>
  <si>
    <t>Yellow</t>
  </si>
  <si>
    <t>Green</t>
  </si>
  <si>
    <t>A1</t>
  </si>
  <si>
    <t>AL</t>
  </si>
  <si>
    <t>-</t>
  </si>
  <si>
    <t>A2</t>
  </si>
  <si>
    <t>A3</t>
  </si>
  <si>
    <t>Thermal Aerodynamics System Engineering</t>
  </si>
  <si>
    <t>C</t>
  </si>
  <si>
    <t>A4</t>
  </si>
  <si>
    <t>Durability &amp; Reliability</t>
  </si>
  <si>
    <t>A5</t>
  </si>
  <si>
    <t>HMI</t>
  </si>
  <si>
    <t>L</t>
  </si>
  <si>
    <t>A6</t>
  </si>
  <si>
    <t>A7</t>
  </si>
  <si>
    <t>Safety and Security</t>
  </si>
  <si>
    <r>
      <t xml:space="preserve">LEGEND : no.of </t>
    </r>
    <r>
      <rPr>
        <b/>
        <sz val="22"/>
        <color rgb="FFFF0000"/>
        <rFont val="Calibri"/>
        <family val="2"/>
        <scheme val="minor"/>
      </rPr>
      <t xml:space="preserve">RED </t>
    </r>
    <r>
      <rPr>
        <sz val="22"/>
        <color theme="1"/>
        <rFont val="Calibri"/>
        <family val="2"/>
        <scheme val="minor"/>
      </rPr>
      <t>/</t>
    </r>
    <r>
      <rPr>
        <b/>
        <sz val="22"/>
        <color theme="1"/>
        <rFont val="Calibri"/>
        <family val="2"/>
        <scheme val="minor"/>
      </rPr>
      <t xml:space="preserve"> </t>
    </r>
    <r>
      <rPr>
        <b/>
        <sz val="22"/>
        <color rgb="FFFFFF00"/>
        <rFont val="Calibri"/>
        <family val="2"/>
        <scheme val="minor"/>
      </rPr>
      <t xml:space="preserve">YELLOW </t>
    </r>
    <r>
      <rPr>
        <sz val="22"/>
        <color theme="1"/>
        <rFont val="Calibri"/>
        <family val="2"/>
        <scheme val="minor"/>
      </rPr>
      <t>/</t>
    </r>
    <r>
      <rPr>
        <b/>
        <sz val="22"/>
        <color theme="1"/>
        <rFont val="Calibri"/>
        <family val="2"/>
        <scheme val="minor"/>
      </rPr>
      <t xml:space="preserve"> </t>
    </r>
    <r>
      <rPr>
        <b/>
        <sz val="22"/>
        <color rgb="FF00B050"/>
        <rFont val="Calibri"/>
        <family val="2"/>
        <scheme val="minor"/>
      </rPr>
      <t xml:space="preserve">GREEN </t>
    </r>
    <r>
      <rPr>
        <sz val="22"/>
        <color theme="1"/>
        <rFont val="Calibri"/>
        <family val="2"/>
        <scheme val="minor"/>
      </rPr>
      <t>/</t>
    </r>
    <r>
      <rPr>
        <b/>
        <sz val="22"/>
        <color theme="1"/>
        <rFont val="Calibri"/>
        <family val="2"/>
        <scheme val="minor"/>
      </rPr>
      <t xml:space="preserve"> </t>
    </r>
    <r>
      <rPr>
        <b/>
        <sz val="22"/>
        <color theme="4" tint="-0.249977111117893"/>
        <rFont val="Calibri"/>
        <family val="2"/>
        <scheme val="minor"/>
      </rPr>
      <t xml:space="preserve">Not assessable/ </t>
    </r>
    <r>
      <rPr>
        <b/>
        <sz val="22"/>
        <color theme="0" tint="-0.499984740745262"/>
        <rFont val="Calibri"/>
        <family val="2"/>
        <scheme val="minor"/>
      </rPr>
      <t>Not assessed</t>
    </r>
  </si>
  <si>
    <t>Department</t>
  </si>
  <si>
    <t>Advance Engineering CVBU</t>
  </si>
  <si>
    <t>Title</t>
  </si>
  <si>
    <t>Sr.No</t>
  </si>
  <si>
    <t>Modification or Change</t>
  </si>
  <si>
    <t>Justification</t>
  </si>
  <si>
    <t>Change Initiator</t>
  </si>
  <si>
    <t>Reviewer</t>
  </si>
  <si>
    <t>Approved by</t>
  </si>
  <si>
    <t>New Version Number</t>
  </si>
  <si>
    <t>Date of Issue</t>
  </si>
  <si>
    <t>Legend - Current Status</t>
  </si>
  <si>
    <t>Legend - Projected SOP Status</t>
  </si>
  <si>
    <t>R - Not meeting target, no recovery plan</t>
  </si>
  <si>
    <t>R - Not expected to meet target</t>
  </si>
  <si>
    <t>Y – Not meeting target,  recovery plan available</t>
  </si>
  <si>
    <t>Y – Expected to meet target ( with conference plan,  recovery plan available)</t>
  </si>
  <si>
    <t>G – meeting target</t>
  </si>
  <si>
    <t>G – meeting target if current status is R or A</t>
  </si>
  <si>
    <t>NA – Not applicable</t>
  </si>
  <si>
    <t>SOP</t>
  </si>
  <si>
    <t>Level1</t>
  </si>
  <si>
    <t>Level2</t>
  </si>
  <si>
    <t>Level3</t>
  </si>
  <si>
    <t>Level4</t>
  </si>
  <si>
    <t>Level5</t>
  </si>
  <si>
    <t>Metric</t>
  </si>
  <si>
    <t>Total</t>
  </si>
  <si>
    <t>Performance &amp; driveability</t>
  </si>
  <si>
    <t>Master Status</t>
  </si>
  <si>
    <t>R</t>
  </si>
  <si>
    <t>Y</t>
  </si>
  <si>
    <t>G</t>
  </si>
  <si>
    <t>B</t>
  </si>
  <si>
    <t>Remarks</t>
  </si>
  <si>
    <t>%</t>
  </si>
  <si>
    <t xml:space="preserve">°C  </t>
  </si>
  <si>
    <t>V</t>
  </si>
  <si>
    <t>NA – Not accessed</t>
  </si>
  <si>
    <t xml:space="preserve">Actual </t>
  </si>
  <si>
    <t>Pass</t>
  </si>
  <si>
    <t>X-in-1 - TML Inhouse Integrated Domain Controller</t>
  </si>
  <si>
    <t>AKO</t>
  </si>
  <si>
    <r>
      <rPr>
        <b/>
        <sz val="12"/>
        <color theme="1"/>
        <rFont val="Calibri"/>
        <family val="2"/>
        <scheme val="minor"/>
      </rPr>
      <t>Template Number:</t>
    </r>
    <r>
      <rPr>
        <sz val="12"/>
        <color theme="1"/>
        <rFont val="Calibri"/>
        <family val="2"/>
        <scheme val="minor"/>
      </rPr>
      <t xml:space="preserve"> ATD-ORG-PM-T00X
</t>
    </r>
    <r>
      <rPr>
        <b/>
        <sz val="12"/>
        <color theme="1"/>
        <rFont val="Calibri"/>
        <family val="2"/>
        <scheme val="minor"/>
      </rPr>
      <t>Format Number:</t>
    </r>
    <r>
      <rPr>
        <sz val="12"/>
        <color theme="1"/>
        <rFont val="Calibri"/>
        <family val="2"/>
        <scheme val="minor"/>
      </rPr>
      <t xml:space="preserve"> PA20-F948.1(R0), April 2023
</t>
    </r>
    <r>
      <rPr>
        <b/>
        <sz val="12"/>
        <color theme="1"/>
        <rFont val="Calibri"/>
        <family val="2"/>
        <scheme val="minor"/>
      </rPr>
      <t>Project document Number</t>
    </r>
    <r>
      <rPr>
        <sz val="12"/>
        <color theme="1"/>
        <rFont val="Calibri"/>
        <family val="2"/>
        <scheme val="minor"/>
      </rPr>
      <t xml:space="preserve">:ATD-ORG-PM-X-in-1-00X
</t>
    </r>
    <r>
      <rPr>
        <b/>
        <sz val="12"/>
        <color theme="1"/>
        <rFont val="Calibri"/>
        <family val="2"/>
        <scheme val="minor"/>
      </rPr>
      <t xml:space="preserve">Date: </t>
    </r>
    <r>
      <rPr>
        <sz val="12"/>
        <color rgb="FFFF0000"/>
        <rFont val="Calibri"/>
        <family val="2"/>
        <scheme val="minor"/>
      </rPr>
      <t>05-05-2023</t>
    </r>
    <r>
      <rPr>
        <b/>
        <sz val="12"/>
        <color theme="1"/>
        <rFont val="Calibri"/>
        <family val="2"/>
        <scheme val="minor"/>
      </rPr>
      <t xml:space="preserve">
Version: </t>
    </r>
    <r>
      <rPr>
        <sz val="12"/>
        <color theme="1"/>
        <rFont val="Calibri"/>
        <family val="2"/>
        <scheme val="minor"/>
      </rPr>
      <t>0.1</t>
    </r>
  </si>
  <si>
    <t>Vehicle Driving</t>
  </si>
  <si>
    <t>Nm</t>
  </si>
  <si>
    <t>RPM</t>
  </si>
  <si>
    <t>A</t>
  </si>
  <si>
    <t>MCU Peak Power for 2Min (Peak)</t>
  </si>
  <si>
    <t>KW</t>
  </si>
  <si>
    <t>At rated load of 140KW</t>
  </si>
  <si>
    <t xml:space="preserve">MCU continuos Power </t>
  </si>
  <si>
    <t>MCU Efficiency</t>
  </si>
  <si>
    <t>At Max load of 250KW</t>
  </si>
  <si>
    <t>Deg</t>
  </si>
  <si>
    <t>MCU Over Current</t>
  </si>
  <si>
    <t>At 130%  load(cutoff)</t>
  </si>
  <si>
    <t>At 110 % (derate)</t>
  </si>
  <si>
    <t>MCU Over Power</t>
  </si>
  <si>
    <t>At 130%  load(Cutoff)</t>
  </si>
  <si>
    <t>MCU  Over Voltage</t>
  </si>
  <si>
    <t>At Rated Load</t>
  </si>
  <si>
    <t>MCU  Over Temperature</t>
  </si>
  <si>
    <t>At 110% of max temp( cutoff)</t>
  </si>
  <si>
    <t>At 100% max temp (derate)</t>
  </si>
  <si>
    <t>Sterring Pump</t>
  </si>
  <si>
    <t xml:space="preserve">Aux inverter Output Current </t>
  </si>
  <si>
    <t>At rated RPM of 1450</t>
  </si>
  <si>
    <t>At Max Temp (-20Deg to 65Deg)</t>
  </si>
  <si>
    <t>At Rated Load 3.7KW</t>
  </si>
  <si>
    <t xml:space="preserve">Aux inverter Output Power continuos </t>
  </si>
  <si>
    <t xml:space="preserve">Aux inverter Efficiency </t>
  </si>
  <si>
    <t>At 100% load of 10KW</t>
  </si>
  <si>
    <t>At rated load of 3.7KW</t>
  </si>
  <si>
    <t>Aux inverter Phase Current A</t>
  </si>
  <si>
    <t>Aux inverter Phase Current B</t>
  </si>
  <si>
    <t>Aux inverter Phase Current C</t>
  </si>
  <si>
    <t>Aux inverter Operating Temperature</t>
  </si>
  <si>
    <t>At rated torque 15Nm</t>
  </si>
  <si>
    <t>Aux inverter Over Current</t>
  </si>
  <si>
    <t>Aux inverter Over Power</t>
  </si>
  <si>
    <t>Aux inverter Over Voltage</t>
  </si>
  <si>
    <t>Aux inverter Over Temperature</t>
  </si>
  <si>
    <t>Braking system</t>
  </si>
  <si>
    <t>At Rated Torque of 15Nm</t>
  </si>
  <si>
    <t>Kw</t>
  </si>
  <si>
    <t>DC-DC Over Power</t>
  </si>
  <si>
    <t>At Rated Load of 6KW</t>
  </si>
  <si>
    <t>DC-DC Over Temperature</t>
  </si>
  <si>
    <t>At 110% of rated temp( cutoff)</t>
  </si>
  <si>
    <t>At max rated temp (derate)</t>
  </si>
  <si>
    <t>DC-DC Ripple</t>
  </si>
  <si>
    <t>At 100% load of 6.6KW</t>
  </si>
  <si>
    <t>At rated load of 6KW</t>
  </si>
  <si>
    <t>DC-DC Operating Temperature</t>
  </si>
  <si>
    <t>deg</t>
  </si>
  <si>
    <t>DC-DC Over Current</t>
  </si>
  <si>
    <t xml:space="preserve">DC-DC Efficiency </t>
  </si>
  <si>
    <t>Fast Charging Control</t>
  </si>
  <si>
    <t>Vehicle Inlet Lock Feedback+ve</t>
  </si>
  <si>
    <t>Status</t>
  </si>
  <si>
    <t>Vehicle Inlet Lock Feedback-ve</t>
  </si>
  <si>
    <t>Current Status at AKO</t>
  </si>
  <si>
    <t>Vehicle Specification</t>
  </si>
  <si>
    <t xml:space="preserve">MCU Max Torque </t>
  </si>
  <si>
    <t>Mode</t>
  </si>
  <si>
    <t>MCU Temperature</t>
  </si>
  <si>
    <t>Aux inverter Max Torque</t>
  </si>
  <si>
    <t>DC-DC Output Current</t>
  </si>
  <si>
    <t>At rated load (6KW) will run for 4 min</t>
  </si>
  <si>
    <t>DC-DC Output Voltage</t>
  </si>
  <si>
    <t>DC-DC Input Voltage</t>
  </si>
  <si>
    <t>DC-DC Output Power</t>
  </si>
  <si>
    <t>Highway Durability</t>
  </si>
  <si>
    <t>Mix Route durability</t>
  </si>
  <si>
    <t>X in 1</t>
  </si>
  <si>
    <t>City durability</t>
  </si>
  <si>
    <t>Accelerated durability cycles</t>
  </si>
  <si>
    <t>Aggregate Coverage Life on structural durability &amp; highway Endurance Vehicle</t>
  </si>
  <si>
    <t>Powertrain</t>
  </si>
  <si>
    <t>Traction Motor</t>
  </si>
  <si>
    <t>High Voltage System</t>
  </si>
  <si>
    <t>EV specific thermal strategies</t>
  </si>
  <si>
    <t>Temperature Cutoff limit</t>
  </si>
  <si>
    <t>DC-DC  operating temperature limit</t>
  </si>
  <si>
    <t>Power board</t>
  </si>
  <si>
    <t>Aux inverter operating temperature limit</t>
  </si>
  <si>
    <t xml:space="preserve">MCU  temperature limit </t>
  </si>
  <si>
    <t>± 1</t>
  </si>
  <si>
    <t xml:space="preserve">Power module </t>
  </si>
  <si>
    <t>Utility &amp; Usage</t>
  </si>
  <si>
    <t>Charging 
Fast charging profile</t>
  </si>
  <si>
    <t>Fast Charging Time</t>
  </si>
  <si>
    <t>At Max Output Current(TBD)</t>
  </si>
  <si>
    <t>At rated Output Current (TBD)</t>
  </si>
  <si>
    <t>From 90% SOC</t>
  </si>
  <si>
    <t>From 95% SOC</t>
  </si>
  <si>
    <t>Hrs</t>
  </si>
  <si>
    <t>Min</t>
  </si>
  <si>
    <t>Over Charging Current</t>
  </si>
  <si>
    <t>Over Voltage</t>
  </si>
  <si>
    <t>`</t>
  </si>
  <si>
    <t>Active Safety</t>
  </si>
  <si>
    <t>HVIL</t>
  </si>
  <si>
    <t>X in1</t>
  </si>
  <si>
    <t>Pre-Charge</t>
  </si>
  <si>
    <t>MCU precharge in XX</t>
  </si>
  <si>
    <t>DCDC precharge in XX</t>
  </si>
  <si>
    <t>Aux Pre Charge in XX</t>
  </si>
  <si>
    <t>Dis-Charge</t>
  </si>
  <si>
    <t>MCU Dis charge in XX</t>
  </si>
  <si>
    <t>Aux Dis Charge in XX</t>
  </si>
  <si>
    <t>Functional Safety</t>
  </si>
  <si>
    <t>Safety</t>
  </si>
  <si>
    <t>Digital</t>
  </si>
  <si>
    <t>Sec</t>
  </si>
  <si>
    <t>ASIL</t>
  </si>
  <si>
    <t xml:space="preserve">Enviornment Management </t>
  </si>
  <si>
    <t>Regulations for EV Components</t>
  </si>
  <si>
    <t>AIS 038 for X in 1</t>
  </si>
  <si>
    <t>AIS 004 part 3 for X in 1</t>
  </si>
  <si>
    <t>Material - Hazardous, Heavy Metals
Lead Mercury</t>
  </si>
  <si>
    <t>Elimination of Persistant Organic Pollutants</t>
  </si>
  <si>
    <t>Certification</t>
  </si>
  <si>
    <t>Declaration</t>
  </si>
  <si>
    <t>Charging time</t>
  </si>
  <si>
    <t>Fast Charging</t>
  </si>
  <si>
    <t>Distance to empty</t>
  </si>
  <si>
    <t>Time to charge</t>
  </si>
  <si>
    <t>Temp indication</t>
  </si>
  <si>
    <t>warning</t>
  </si>
  <si>
    <t>KM</t>
  </si>
  <si>
    <t>Indication</t>
  </si>
  <si>
    <t>Vehicle Speed</t>
  </si>
  <si>
    <t>Max</t>
  </si>
  <si>
    <t>DNR status</t>
  </si>
  <si>
    <t>Drive ( ECO)</t>
  </si>
  <si>
    <t>Reverse</t>
  </si>
  <si>
    <t>Park</t>
  </si>
  <si>
    <t>Drive(Power )</t>
  </si>
  <si>
    <t>Neutral</t>
  </si>
  <si>
    <t>Limp mode</t>
  </si>
  <si>
    <t>Charging</t>
  </si>
  <si>
    <t>Charging in progress</t>
  </si>
  <si>
    <t>Charging fault</t>
  </si>
  <si>
    <t>Charging completion</t>
  </si>
  <si>
    <t>SOC</t>
  </si>
  <si>
    <t xml:space="preserve">Low SOC </t>
  </si>
  <si>
    <t>SOC warning</t>
  </si>
  <si>
    <t xml:space="preserve">Full charge </t>
  </si>
  <si>
    <t>SOC value</t>
  </si>
  <si>
    <t>HV battery fault</t>
  </si>
  <si>
    <t>Electric Hazard</t>
  </si>
  <si>
    <t xml:space="preserve">HVIL </t>
  </si>
  <si>
    <t xml:space="preserve">Heathy </t>
  </si>
  <si>
    <t>Fault</t>
  </si>
  <si>
    <t>Alarm</t>
  </si>
  <si>
    <t>EVCU</t>
  </si>
  <si>
    <t>PALS</t>
  </si>
  <si>
    <t>Performance &amp; Drivability</t>
  </si>
  <si>
    <t>Environment Management</t>
  </si>
  <si>
    <t xml:space="preserve">X-in-1 : Panel Chart Summary </t>
  </si>
  <si>
    <t>At rated load of 188KW</t>
  </si>
  <si>
    <t>At Rated RPM of 3343</t>
  </si>
  <si>
    <t>At Rated Torque of 450Nm</t>
  </si>
  <si>
    <t>At Max Temp -20°C to 85°C</t>
  </si>
  <si>
    <t>At Rated torque of 450Nm</t>
  </si>
  <si>
    <t>Revision 1</t>
  </si>
  <si>
    <t>1.In house motor parameter consider
2. Duplicate data deleted</t>
  </si>
  <si>
    <t>Pratik Parale</t>
  </si>
  <si>
    <t>Rajiv Kumar</t>
  </si>
  <si>
    <t>Revision _1.0</t>
  </si>
  <si>
    <t>&gt;250</t>
  </si>
  <si>
    <t>&gt;500</t>
  </si>
  <si>
    <t>&gt;97</t>
  </si>
  <si>
    <t>&gt;93</t>
  </si>
  <si>
    <t>At Max Temp -20°C to 65°C</t>
  </si>
  <si>
    <t>&gt;98</t>
  </si>
  <si>
    <t>&gt;95</t>
  </si>
  <si>
    <t>&gt;18</t>
  </si>
  <si>
    <t>&gt;10</t>
  </si>
  <si>
    <t>&gt;5</t>
  </si>
  <si>
    <t>&gt;1050</t>
  </si>
  <si>
    <t>&gt;85</t>
  </si>
  <si>
    <t>&gt;65</t>
  </si>
  <si>
    <t>&gt;6.6</t>
  </si>
  <si>
    <t>DC-DC Output Over Voltage</t>
  </si>
  <si>
    <t>&gt;32</t>
  </si>
  <si>
    <t>&gt;214</t>
  </si>
  <si>
    <t>&gt;6</t>
  </si>
  <si>
    <t>DC-DC Input Over Voltage</t>
  </si>
  <si>
    <t xml:space="preserve">At Max load of 288KW </t>
  </si>
  <si>
    <t xml:space="preserve">At continuous Load (3.7KW) </t>
  </si>
  <si>
    <t>At Max RPM (1450 )will run for less than 2min</t>
  </si>
  <si>
    <t>&gt; 600v and &lt; 1000V</t>
  </si>
  <si>
    <t>6kW</t>
  </si>
  <si>
    <t>As per TASE Trial min Temperature</t>
  </si>
  <si>
    <t>As per TASE Trial max Temperature</t>
  </si>
  <si>
    <t>From Vehicle Target</t>
  </si>
  <si>
    <t>Indication on cluster</t>
  </si>
  <si>
    <t>From Motor Target</t>
  </si>
  <si>
    <t>D on Cluster</t>
  </si>
  <si>
    <t>R on Cluster</t>
  </si>
  <si>
    <t>P on cluster</t>
  </si>
  <si>
    <t>Power on Cluster</t>
  </si>
  <si>
    <t>N on Cluster</t>
  </si>
  <si>
    <t>L on Cluster</t>
  </si>
  <si>
    <t>0-100%</t>
  </si>
  <si>
    <t>Revision 2</t>
  </si>
  <si>
    <t>1.  Optimisation based on product specification</t>
  </si>
  <si>
    <t>Aggregate Attribute Target</t>
  </si>
  <si>
    <t>Revision_6.0</t>
  </si>
  <si>
    <t>0/1</t>
  </si>
  <si>
    <t xml:space="preserve">At rated load (6KW) </t>
  </si>
  <si>
    <t>At Max Output Current (250A) will run for 4 min</t>
  </si>
  <si>
    <t>C/D</t>
  </si>
  <si>
    <t xml:space="preserve">X in 1  MCU </t>
  </si>
  <si>
    <t>X in 1  DC-DC</t>
  </si>
  <si>
    <t>X in 1 AUX</t>
  </si>
  <si>
    <t>X in 1  VCU</t>
  </si>
  <si>
    <t>From Vehicle targets</t>
  </si>
  <si>
    <t>At adiititional 30%  load(cutoff)</t>
  </si>
  <si>
    <t>At adittinonal 10 % (derate)</t>
  </si>
  <si>
    <t>From 10 % to 90% SOC</t>
  </si>
  <si>
    <t>As per CCL limit</t>
  </si>
  <si>
    <t>Revision 3</t>
  </si>
  <si>
    <t>Pankaj Deosarkar</t>
  </si>
  <si>
    <t>Revision_7.0</t>
  </si>
  <si>
    <t>1. Optimation in Utility &amp; Usage 
2. Optimation in D &amp; R</t>
  </si>
  <si>
    <t>&gt;450</t>
  </si>
  <si>
    <t>&gt;235</t>
  </si>
  <si>
    <t xml:space="preserve">complinace </t>
  </si>
  <si>
    <t>Revision 4</t>
  </si>
  <si>
    <t>Revision_7.1</t>
  </si>
  <si>
    <t>Targets are assigned for each attribute.</t>
  </si>
  <si>
    <t>AR1</t>
  </si>
  <si>
    <t xml:space="preserve">We can test upto 10% loading at this stage </t>
  </si>
  <si>
    <t>We can test upto 10% of overall load</t>
  </si>
  <si>
    <t>Revision 5</t>
  </si>
  <si>
    <t>Revision_7.2</t>
  </si>
  <si>
    <t>2 Duplicate targets in P &amp; D , Partial parameter achivable at mule testing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</si>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</sst>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4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6.5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000000"/>
      <name val="Calibri"/>
      <family val="2"/>
    </font>
    <font>
      <b/>
      <sz val="26"/>
      <color rgb="FF000000"/>
      <name val="Calibri"/>
      <family val="2"/>
    </font>
    <font>
      <b/>
      <sz val="26"/>
      <color rgb="FF000000"/>
      <name val="Calibri"/>
      <family val="2"/>
      <scheme val="minor"/>
    </font>
    <font>
      <b/>
      <sz val="26"/>
      <color rgb="FF00B05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FFFF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0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43" fontId="5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/>
    <xf numFmtId="0" fontId="14" fillId="7" borderId="4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4" xfId="0" applyFill="1" applyBorder="1" applyAlignment="1">
      <alignment vertical="center"/>
    </xf>
    <xf numFmtId="49" fontId="16" fillId="12" borderId="4" xfId="0" applyNumberFormat="1" applyFont="1" applyFill="1" applyBorder="1" applyAlignment="1">
      <alignment horizontal="center" vertical="center" wrapText="1" readingOrder="1"/>
    </xf>
    <xf numFmtId="49" fontId="16" fillId="4" borderId="4" xfId="0" applyNumberFormat="1" applyFont="1" applyFill="1" applyBorder="1" applyAlignment="1">
      <alignment horizontal="center" vertical="center" wrapText="1" readingOrder="1"/>
    </xf>
    <xf numFmtId="49" fontId="16" fillId="7" borderId="4" xfId="0" applyNumberFormat="1" applyFont="1" applyFill="1" applyBorder="1" applyAlignment="1">
      <alignment horizontal="center" vertical="center" wrapText="1" readingOrder="1"/>
    </xf>
    <xf numFmtId="49" fontId="16" fillId="0" borderId="0" xfId="0" applyNumberFormat="1" applyFont="1" applyAlignment="1">
      <alignment horizontal="center" vertical="center" wrapText="1" readingOrder="1"/>
    </xf>
    <xf numFmtId="0" fontId="1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 wrapText="1" readingOrder="1"/>
    </xf>
    <xf numFmtId="49" fontId="24" fillId="6" borderId="4" xfId="0" applyNumberFormat="1" applyFont="1" applyFill="1" applyBorder="1" applyAlignment="1">
      <alignment horizontal="center" vertical="center" wrapText="1" readingOrder="1"/>
    </xf>
    <xf numFmtId="49" fontId="25" fillId="6" borderId="4" xfId="0" applyNumberFormat="1" applyFont="1" applyFill="1" applyBorder="1" applyAlignment="1">
      <alignment horizontal="center" vertical="center" wrapText="1" readingOrder="1"/>
    </xf>
    <xf numFmtId="0" fontId="23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 readingOrder="1"/>
    </xf>
    <xf numFmtId="0" fontId="26" fillId="0" borderId="4" xfId="0" applyFont="1" applyBorder="1" applyAlignment="1">
      <alignment horizontal="center" vertical="center" wrapText="1" readingOrder="1"/>
    </xf>
    <xf numFmtId="0" fontId="27" fillId="0" borderId="4" xfId="0" applyFont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quotePrefix="1" applyFont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left" vertical="center" wrapText="1" readingOrder="1"/>
    </xf>
    <xf numFmtId="0" fontId="23" fillId="8" borderId="0" xfId="0" applyFont="1" applyFill="1" applyAlignment="1">
      <alignment vertical="center"/>
    </xf>
    <xf numFmtId="0" fontId="29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readingOrder="1"/>
    </xf>
    <xf numFmtId="1" fontId="2" fillId="0" borderId="4" xfId="0" applyNumberFormat="1" applyFont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8" borderId="4" xfId="0" applyFill="1" applyBorder="1" applyAlignment="1">
      <alignment vertical="center" wrapText="1"/>
    </xf>
    <xf numFmtId="0" fontId="38" fillId="0" borderId="4" xfId="0" applyFont="1" applyBorder="1" applyAlignment="1">
      <alignment horizontal="left" vertical="center" wrapText="1"/>
    </xf>
    <xf numFmtId="1" fontId="28" fillId="8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6" borderId="4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0" fillId="0" borderId="4" xfId="0" applyBorder="1"/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1" fillId="2" borderId="4" xfId="0" applyFont="1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/>
    </xf>
    <xf numFmtId="0" fontId="41" fillId="0" borderId="4" xfId="0" applyFont="1" applyBorder="1"/>
    <xf numFmtId="0" fontId="42" fillId="0" borderId="4" xfId="0" applyFont="1" applyBorder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9" fillId="8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0" fillId="8" borderId="4" xfId="0" quotePrefix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0" fillId="4" borderId="4" xfId="0" applyFill="1" applyBorder="1" applyAlignment="1">
      <alignment vertical="center"/>
    </xf>
    <xf numFmtId="0" fontId="0" fillId="4" borderId="4" xfId="0" applyFill="1" applyBorder="1"/>
    <xf numFmtId="0" fontId="2" fillId="0" borderId="4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 wrapText="1"/>
    </xf>
    <xf numFmtId="0" fontId="31" fillId="0" borderId="3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9" fontId="24" fillId="6" borderId="4" xfId="0" applyNumberFormat="1" applyFont="1" applyFill="1" applyBorder="1" applyAlignment="1">
      <alignment horizontal="center" vertical="center" wrapText="1" readingOrder="1"/>
    </xf>
    <xf numFmtId="49" fontId="16" fillId="6" borderId="4" xfId="0" applyNumberFormat="1" applyFont="1" applyFill="1" applyBorder="1" applyAlignment="1">
      <alignment horizontal="center" vertical="center" wrapText="1" readingOrder="1"/>
    </xf>
    <xf numFmtId="49" fontId="16" fillId="11" borderId="4" xfId="0" applyNumberFormat="1" applyFont="1" applyFill="1" applyBorder="1" applyAlignment="1">
      <alignment horizontal="center" vertical="center" wrapText="1" readingOrder="1"/>
    </xf>
    <xf numFmtId="0" fontId="22" fillId="5" borderId="7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left" vertical="center" wrapText="1" readingOrder="1"/>
    </xf>
    <xf numFmtId="0" fontId="1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6">
    <cellStyle name="Comma 3 2" xfId="2" xr:uid="{00000000-0005-0000-0000-000000000000}"/>
    <cellStyle name="Comma 3 2 2" xfId="5" xr:uid="{00000000-0005-0000-0000-000001000000}"/>
    <cellStyle name="Normal" xfId="0" builtinId="0"/>
    <cellStyle name="Normal 16" xfId="1" xr:uid="{00000000-0005-0000-0000-000003000000}"/>
    <cellStyle name="Normal 2" xfId="3" xr:uid="{00000000-0005-0000-0000-000004000000}"/>
    <cellStyle name="Normal 3" xfId="4" xr:uid="{00000000-0005-0000-0000-000005000000}"/>
  </cellStyles>
  <dxfs count="32"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9-469A-8BB4-1B51D72FB23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9-469A-8BB4-1B51D72FB23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F9-469A-8BB4-1B51D72FB23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F9-469A-8BB4-1B51D72FB2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492992"/>
        <c:axId val="123511936"/>
      </c:barChart>
      <c:catAx>
        <c:axId val="123492992"/>
        <c:scaling>
          <c:orientation val="minMax"/>
        </c:scaling>
        <c:delete val="1"/>
        <c:axPos val="l"/>
        <c:majorTickMark val="none"/>
        <c:minorTickMark val="none"/>
        <c:tickLblPos val="nextTo"/>
        <c:crossAx val="123511936"/>
        <c:crosses val="autoZero"/>
        <c:auto val="1"/>
        <c:lblAlgn val="ctr"/>
        <c:lblOffset val="100"/>
        <c:noMultiLvlLbl val="0"/>
      </c:catAx>
      <c:valAx>
        <c:axId val="1235119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34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B-4C7B-91F7-AEB85A9B795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B-4C7B-91F7-AEB85A9B795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6B-4C7B-91F7-AEB85A9B795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6B-4C7B-91F7-AEB85A9B79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723776"/>
        <c:axId val="123740928"/>
      </c:barChart>
      <c:catAx>
        <c:axId val="123723776"/>
        <c:scaling>
          <c:orientation val="minMax"/>
        </c:scaling>
        <c:delete val="1"/>
        <c:axPos val="l"/>
        <c:majorTickMark val="none"/>
        <c:minorTickMark val="none"/>
        <c:tickLblPos val="nextTo"/>
        <c:crossAx val="123740928"/>
        <c:crosses val="autoZero"/>
        <c:auto val="1"/>
        <c:lblAlgn val="ctr"/>
        <c:lblOffset val="100"/>
        <c:noMultiLvlLbl val="0"/>
      </c:catAx>
      <c:valAx>
        <c:axId val="1237409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37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7-4DEF-8D30-D683210E5F7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7-4DEF-8D30-D683210E5F7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47-4DEF-8D30-D683210E5F7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47-4DEF-8D30-D683210E5F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084224"/>
        <c:axId val="150131456"/>
      </c:barChart>
      <c:catAx>
        <c:axId val="150084224"/>
        <c:scaling>
          <c:orientation val="minMax"/>
        </c:scaling>
        <c:delete val="1"/>
        <c:axPos val="l"/>
        <c:majorTickMark val="none"/>
        <c:minorTickMark val="none"/>
        <c:tickLblPos val="nextTo"/>
        <c:crossAx val="150131456"/>
        <c:crosses val="autoZero"/>
        <c:auto val="1"/>
        <c:lblAlgn val="ctr"/>
        <c:lblOffset val="100"/>
        <c:noMultiLvlLbl val="0"/>
      </c:catAx>
      <c:valAx>
        <c:axId val="1501314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08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0-4993-8A59-4F145CE08EB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0-4993-8A59-4F145CE08EB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80-4993-8A59-4F145CE08EB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80-4993-8A59-4F145CE08E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323072"/>
        <c:axId val="162359552"/>
      </c:barChart>
      <c:catAx>
        <c:axId val="162323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62359552"/>
        <c:crosses val="autoZero"/>
        <c:auto val="1"/>
        <c:lblAlgn val="ctr"/>
        <c:lblOffset val="100"/>
        <c:noMultiLvlLbl val="0"/>
      </c:catAx>
      <c:valAx>
        <c:axId val="1623595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232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6-45A5-83A2-10C5896C271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6-45A5-83A2-10C5896C271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D6-45A5-83A2-10C5896C271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D6-45A5-83A2-10C5896C27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620544"/>
        <c:axId val="162622080"/>
      </c:barChart>
      <c:catAx>
        <c:axId val="162620544"/>
        <c:scaling>
          <c:orientation val="minMax"/>
        </c:scaling>
        <c:delete val="1"/>
        <c:axPos val="l"/>
        <c:majorTickMark val="none"/>
        <c:minorTickMark val="none"/>
        <c:tickLblPos val="nextTo"/>
        <c:crossAx val="162622080"/>
        <c:crosses val="autoZero"/>
        <c:auto val="1"/>
        <c:lblAlgn val="ctr"/>
        <c:lblOffset val="100"/>
        <c:noMultiLvlLbl val="0"/>
      </c:catAx>
      <c:valAx>
        <c:axId val="1626220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262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F-4544-A48D-063EAB5DA32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F-4544-A48D-063EAB5DA32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F-4544-A48D-063EAB5DA32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6F-4544-A48D-063EAB5DA3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1893248"/>
        <c:axId val="231911424"/>
      </c:barChart>
      <c:catAx>
        <c:axId val="231893248"/>
        <c:scaling>
          <c:orientation val="minMax"/>
        </c:scaling>
        <c:delete val="1"/>
        <c:axPos val="l"/>
        <c:majorTickMark val="none"/>
        <c:minorTickMark val="none"/>
        <c:tickLblPos val="nextTo"/>
        <c:crossAx val="231911424"/>
        <c:crosses val="autoZero"/>
        <c:auto val="1"/>
        <c:lblAlgn val="ctr"/>
        <c:lblOffset val="100"/>
        <c:noMultiLvlLbl val="0"/>
      </c:catAx>
      <c:valAx>
        <c:axId val="2319114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189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8-4094-94C3-158E43802AC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8-4094-94C3-158E43802AC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8-4094-94C3-158E43802AC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68-4094-94C3-158E43802A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3055360"/>
        <c:axId val="233056896"/>
      </c:barChart>
      <c:catAx>
        <c:axId val="233055360"/>
        <c:scaling>
          <c:orientation val="minMax"/>
        </c:scaling>
        <c:delete val="1"/>
        <c:axPos val="l"/>
        <c:majorTickMark val="none"/>
        <c:minorTickMark val="none"/>
        <c:tickLblPos val="nextTo"/>
        <c:crossAx val="233056896"/>
        <c:crosses val="autoZero"/>
        <c:auto val="1"/>
        <c:lblAlgn val="ctr"/>
        <c:lblOffset val="100"/>
        <c:noMultiLvlLbl val="0"/>
      </c:catAx>
      <c:valAx>
        <c:axId val="2330568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305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2-4A97-9E81-30B625986D4F}"/>
            </c:ext>
          </c:extLst>
        </c:ser>
        <c:ser>
          <c:idx val="2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2-4A97-9E81-30B625986D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3111936"/>
        <c:axId val="233113472"/>
      </c:barChart>
      <c:catAx>
        <c:axId val="233111936"/>
        <c:scaling>
          <c:orientation val="minMax"/>
        </c:scaling>
        <c:delete val="1"/>
        <c:axPos val="l"/>
        <c:majorTickMark val="none"/>
        <c:minorTickMark val="none"/>
        <c:tickLblPos val="nextTo"/>
        <c:crossAx val="233113472"/>
        <c:crosses val="autoZero"/>
        <c:auto val="1"/>
        <c:lblAlgn val="ctr"/>
        <c:lblOffset val="100"/>
        <c:noMultiLvlLbl val="0"/>
      </c:catAx>
      <c:valAx>
        <c:axId val="2331134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311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4-4634-BADD-03544D5F0FD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4-4634-BADD-03544D5F0FD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04-4634-BADD-03544D5F0FD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04-4634-BADD-03544D5F0F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3142912"/>
        <c:axId val="233152896"/>
      </c:barChart>
      <c:catAx>
        <c:axId val="233142912"/>
        <c:scaling>
          <c:orientation val="minMax"/>
        </c:scaling>
        <c:delete val="1"/>
        <c:axPos val="l"/>
        <c:majorTickMark val="none"/>
        <c:minorTickMark val="none"/>
        <c:tickLblPos val="nextTo"/>
        <c:crossAx val="233152896"/>
        <c:crosses val="autoZero"/>
        <c:auto val="1"/>
        <c:lblAlgn val="ctr"/>
        <c:lblOffset val="100"/>
        <c:noMultiLvlLbl val="0"/>
      </c:catAx>
      <c:valAx>
        <c:axId val="2331528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314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5-4579-A1DB-42D0F6B6060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5-4579-A1DB-42D0F6B6060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A5-4579-A1DB-42D0F6B6060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A5-4579-A1DB-42D0F6B606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3190528"/>
        <c:axId val="233192064"/>
      </c:barChart>
      <c:catAx>
        <c:axId val="233190528"/>
        <c:scaling>
          <c:orientation val="minMax"/>
        </c:scaling>
        <c:delete val="1"/>
        <c:axPos val="l"/>
        <c:majorTickMark val="none"/>
        <c:minorTickMark val="none"/>
        <c:tickLblPos val="nextTo"/>
        <c:crossAx val="233192064"/>
        <c:crosses val="autoZero"/>
        <c:auto val="1"/>
        <c:lblAlgn val="ctr"/>
        <c:lblOffset val="100"/>
        <c:noMultiLvlLbl val="0"/>
      </c:catAx>
      <c:valAx>
        <c:axId val="2331920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319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E-4025-8FC0-A580D9627D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E-4025-8FC0-A580D9627D1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4E-4025-8FC0-A580D9627D1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4E-4025-8FC0-A580D9627D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175232"/>
        <c:axId val="164181120"/>
      </c:barChart>
      <c:catAx>
        <c:axId val="164175232"/>
        <c:scaling>
          <c:orientation val="minMax"/>
        </c:scaling>
        <c:delete val="1"/>
        <c:axPos val="l"/>
        <c:majorTickMark val="none"/>
        <c:minorTickMark val="none"/>
        <c:tickLblPos val="nextTo"/>
        <c:crossAx val="164181120"/>
        <c:crosses val="autoZero"/>
        <c:auto val="1"/>
        <c:lblAlgn val="ctr"/>
        <c:lblOffset val="100"/>
        <c:noMultiLvlLbl val="0"/>
      </c:catAx>
      <c:valAx>
        <c:axId val="1641811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417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2-4CE0-A1C1-F5EAD857F48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2-4CE0-A1C1-F5EAD857F48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2-4CE0-A1C1-F5EAD857F48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2-4CE0-A1C1-F5EAD857F4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226944"/>
        <c:axId val="164228480"/>
      </c:barChart>
      <c:catAx>
        <c:axId val="164226944"/>
        <c:scaling>
          <c:orientation val="minMax"/>
        </c:scaling>
        <c:delete val="1"/>
        <c:axPos val="l"/>
        <c:majorTickMark val="none"/>
        <c:minorTickMark val="none"/>
        <c:tickLblPos val="nextTo"/>
        <c:crossAx val="164228480"/>
        <c:crosses val="autoZero"/>
        <c:auto val="1"/>
        <c:lblAlgn val="ctr"/>
        <c:lblOffset val="100"/>
        <c:noMultiLvlLbl val="0"/>
      </c:catAx>
      <c:valAx>
        <c:axId val="1642284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422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9-492D-BAD0-EEEE9FFEB0D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69-492D-BAD0-EEEE9FFEB0D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69-492D-BAD0-EEEE9FFEB0D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69-492D-BAD0-EEEE9FFEB0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8079616"/>
        <c:axId val="218081152"/>
      </c:barChart>
      <c:catAx>
        <c:axId val="218079616"/>
        <c:scaling>
          <c:orientation val="minMax"/>
        </c:scaling>
        <c:delete val="1"/>
        <c:axPos val="l"/>
        <c:majorTickMark val="none"/>
        <c:minorTickMark val="none"/>
        <c:tickLblPos val="nextTo"/>
        <c:crossAx val="218081152"/>
        <c:crosses val="autoZero"/>
        <c:auto val="1"/>
        <c:lblAlgn val="ctr"/>
        <c:lblOffset val="100"/>
        <c:noMultiLvlLbl val="0"/>
      </c:catAx>
      <c:valAx>
        <c:axId val="2180811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807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3-47DB-8EE5-78FF5732A93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3-47DB-8EE5-78FF5732A93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3-47DB-8EE5-78FF5732A93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53-47DB-8EE5-78FF5732A9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2610432"/>
        <c:axId val="232620416"/>
      </c:barChart>
      <c:catAx>
        <c:axId val="232610432"/>
        <c:scaling>
          <c:orientation val="minMax"/>
        </c:scaling>
        <c:delete val="1"/>
        <c:axPos val="l"/>
        <c:majorTickMark val="none"/>
        <c:minorTickMark val="none"/>
        <c:tickLblPos val="nextTo"/>
        <c:crossAx val="232620416"/>
        <c:crosses val="autoZero"/>
        <c:auto val="1"/>
        <c:lblAlgn val="ctr"/>
        <c:lblOffset val="100"/>
        <c:noMultiLvlLbl val="0"/>
      </c:catAx>
      <c:valAx>
        <c:axId val="2326204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261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2-4463-A107-1D6A7DD7D92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32-4463-A107-1D6A7DD7D92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32-4463-A107-1D6A7DD7D92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32-4463-A107-1D6A7DD7D9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2981632"/>
        <c:axId val="232983168"/>
      </c:barChart>
      <c:catAx>
        <c:axId val="232981632"/>
        <c:scaling>
          <c:orientation val="minMax"/>
        </c:scaling>
        <c:delete val="1"/>
        <c:axPos val="l"/>
        <c:majorTickMark val="none"/>
        <c:minorTickMark val="none"/>
        <c:tickLblPos val="nextTo"/>
        <c:crossAx val="232983168"/>
        <c:crosses val="autoZero"/>
        <c:auto val="1"/>
        <c:lblAlgn val="ctr"/>
        <c:lblOffset val="100"/>
        <c:noMultiLvlLbl val="0"/>
      </c:catAx>
      <c:valAx>
        <c:axId val="232983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298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B-40B4-B658-17520ADD24B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5B-40B4-B658-17520ADD24B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5B-40B4-B658-17520ADD24B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r"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B-40B4-B658-17520ADD24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3024896"/>
        <c:axId val="233043072"/>
      </c:barChart>
      <c:catAx>
        <c:axId val="233024896"/>
        <c:scaling>
          <c:orientation val="minMax"/>
        </c:scaling>
        <c:delete val="1"/>
        <c:axPos val="l"/>
        <c:majorTickMark val="none"/>
        <c:minorTickMark val="none"/>
        <c:tickLblPos val="nextTo"/>
        <c:crossAx val="233043072"/>
        <c:crosses val="autoZero"/>
        <c:auto val="1"/>
        <c:lblAlgn val="ctr"/>
        <c:lblOffset val="100"/>
        <c:noMultiLvlLbl val="0"/>
      </c:catAx>
      <c:valAx>
        <c:axId val="2330430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302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'Panel chart summary'!$K$6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D-4A0D-AD08-E8508CF2C67F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1364260860184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C3-4B43-A468-2233228BA0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summary'!$L$6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9D-4A0D-AD08-E8508CF2C67F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74789647155100236"/>
                  <c:y val="-0.281027936678767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9D-4A0D-AD08-E8508CF2C6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summary'!$M$6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9D-4A0D-AD08-E8508CF2C67F}"/>
            </c:ext>
          </c:extLst>
        </c:ser>
        <c:ser>
          <c:idx val="3"/>
          <c:order val="3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99734382395715E-2"/>
                  <c:y val="-0.307693407526122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F9D-4A0D-AD08-E8508CF2C6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 algn="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summary'!$N$6</c:f>
              <c:numCache>
                <c:formatCode>0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9D-4A0D-AD08-E8508CF2C6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3316352"/>
        <c:axId val="233317888"/>
      </c:barChart>
      <c:catAx>
        <c:axId val="233316352"/>
        <c:scaling>
          <c:orientation val="minMax"/>
        </c:scaling>
        <c:delete val="1"/>
        <c:axPos val="l"/>
        <c:majorTickMark val="none"/>
        <c:minorTickMark val="none"/>
        <c:tickLblPos val="nextTo"/>
        <c:crossAx val="233317888"/>
        <c:crosses val="autoZero"/>
        <c:auto val="1"/>
        <c:lblAlgn val="ctr"/>
        <c:lblOffset val="100"/>
        <c:noMultiLvlLbl val="0"/>
      </c:catAx>
      <c:valAx>
        <c:axId val="233317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331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'Panel chart summary'!$K$7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0-493E-91EB-7B90EC6A705E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3028806580794656E-2"/>
                  <c:y val="-0.335329762936819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B-47D8-88ED-26792D3025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summary'!$L$7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D0-493E-91EB-7B90EC6A705E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472257319543304E-4"/>
                  <c:y val="-0.335636708487539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D0-493E-91EB-7B90EC6A7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summary'!$M$7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D0-493E-91EB-7B90EC6A705E}"/>
            </c:ext>
          </c:extLst>
        </c:ser>
        <c:ser>
          <c:idx val="3"/>
          <c:order val="3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2D0-493E-91EB-7B90EC6A705E}"/>
              </c:ext>
            </c:extLst>
          </c:dPt>
          <c:dLbls>
            <c:dLbl>
              <c:idx val="0"/>
              <c:layout>
                <c:manualLayout>
                  <c:x val="-1.3147805643244677E-2"/>
                  <c:y val="-0.332679469633293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D0-493E-91EB-7B90EC6A7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 algn="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summary'!$N$7</c:f>
              <c:numCache>
                <c:formatCode>0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D0-493E-91EB-7B90EC6A70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3361792"/>
        <c:axId val="233363328"/>
      </c:barChart>
      <c:catAx>
        <c:axId val="233361792"/>
        <c:scaling>
          <c:orientation val="minMax"/>
        </c:scaling>
        <c:delete val="1"/>
        <c:axPos val="l"/>
        <c:majorTickMark val="none"/>
        <c:minorTickMark val="none"/>
        <c:tickLblPos val="nextTo"/>
        <c:crossAx val="233363328"/>
        <c:crosses val="autoZero"/>
        <c:auto val="1"/>
        <c:lblAlgn val="ctr"/>
        <c:lblOffset val="100"/>
        <c:noMultiLvlLbl val="0"/>
      </c:catAx>
      <c:valAx>
        <c:axId val="2333633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336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14644210484589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7B-4BE7-ADBB-BE312E09E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l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summary'!$Q$5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7B-4BE7-ADBB-BE312E09E2D9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'Panel chart summary'!$R$5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7B-4BE7-ADBB-BE312E09E2D9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095392684185814E-3"/>
                  <c:y val="-0.314644210484589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7B-4BE7-ADBB-BE312E09E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summary'!$S$5</c:f>
              <c:numCache>
                <c:formatCode>0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7B-4BE7-ADBB-BE312E09E2D9}"/>
            </c:ext>
          </c:extLst>
        </c:ser>
        <c:ser>
          <c:idx val="3"/>
          <c:order val="3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14644210484589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7B-4BE7-ADBB-BE312E09E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summary'!$T$5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7B-4BE7-ADBB-BE312E09E2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5742336"/>
        <c:axId val="235743872"/>
      </c:barChart>
      <c:catAx>
        <c:axId val="235742336"/>
        <c:scaling>
          <c:orientation val="minMax"/>
        </c:scaling>
        <c:delete val="1"/>
        <c:axPos val="l"/>
        <c:majorTickMark val="none"/>
        <c:minorTickMark val="none"/>
        <c:tickLblPos val="nextTo"/>
        <c:crossAx val="235743872"/>
        <c:crosses val="autoZero"/>
        <c:auto val="1"/>
        <c:lblAlgn val="ctr"/>
        <c:lblOffset val="100"/>
        <c:noMultiLvlLbl val="0"/>
      </c:catAx>
      <c:valAx>
        <c:axId val="2357438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574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'Panel chart summary'!$Q$7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A-4210-83AF-D914EF5FB487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7054769840727063E-3"/>
                  <c:y val="-0.346250439104698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7F-4A81-8341-FBBCC880AE0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summary'!$R$7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AA-4210-83AF-D914EF5FB487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487586351042562E-2"/>
                  <c:y val="-0.320982022203552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8050207884439"/>
                      <c:h val="0.339298692905464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FAA-4210-83AF-D914EF5FB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summary'!$S$7</c:f>
              <c:numCache>
                <c:formatCode>0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AA-4210-83AF-D914EF5FB487}"/>
            </c:ext>
          </c:extLst>
        </c:ser>
        <c:ser>
          <c:idx val="3"/>
          <c:order val="3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FAA-4210-83AF-D914EF5FB487}"/>
              </c:ext>
            </c:extLst>
          </c:dPt>
          <c:dLbls>
            <c:dLbl>
              <c:idx val="0"/>
              <c:layout>
                <c:manualLayout>
                  <c:x val="-1.9105269662583005E-7"/>
                  <c:y val="-0.307692470172496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47945477403558"/>
                      <c:h val="0.365860805860805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FAA-4210-83AF-D914EF5FB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summary'!$T$7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AA-4210-83AF-D914EF5FB4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5795584"/>
        <c:axId val="235797120"/>
      </c:barChart>
      <c:catAx>
        <c:axId val="235795584"/>
        <c:scaling>
          <c:orientation val="minMax"/>
        </c:scaling>
        <c:delete val="1"/>
        <c:axPos val="l"/>
        <c:majorTickMark val="none"/>
        <c:minorTickMark val="none"/>
        <c:tickLblPos val="nextTo"/>
        <c:crossAx val="235797120"/>
        <c:crosses val="autoZero"/>
        <c:auto val="1"/>
        <c:lblAlgn val="ctr"/>
        <c:lblOffset val="100"/>
        <c:noMultiLvlLbl val="0"/>
      </c:catAx>
      <c:valAx>
        <c:axId val="2357971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579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324780830967557E-2"/>
                  <c:y val="-0.3354698868439557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vertOverflow="overflow" horzOverflow="overflow" vert="horz">
                  <a:spAutoFit/>
                </a:bodyPr>
                <a:lstStyle/>
                <a:p>
                  <a:pPr algn="l"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79-4491-B1D4-064C072008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l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summary'!$Q$8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9-4491-B1D4-064C07200862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'Panel chart summary'!$R$8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79-4491-B1D4-064C07200862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9.5362950239729731E-3"/>
                  <c:y val="-0.307692680087742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6890756302521"/>
                      <c:h val="0.365860805860805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779-4491-B1D4-064C072008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summary'!$S$8</c:f>
              <c:numCache>
                <c:formatCode>0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79-4491-B1D4-064C07200862}"/>
            </c:ext>
          </c:extLst>
        </c:ser>
        <c:ser>
          <c:idx val="3"/>
          <c:order val="3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958460118035372E-7"/>
                  <c:y val="-0.307692680087742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47945477403558"/>
                      <c:h val="0.365860805860805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779-4491-B1D4-064C072008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summary'!$T$8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779-4491-B1D4-064C072008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2521216"/>
        <c:axId val="242522752"/>
      </c:barChart>
      <c:catAx>
        <c:axId val="242521216"/>
        <c:scaling>
          <c:orientation val="minMax"/>
        </c:scaling>
        <c:delete val="1"/>
        <c:axPos val="l"/>
        <c:majorTickMark val="none"/>
        <c:minorTickMark val="none"/>
        <c:tickLblPos val="nextTo"/>
        <c:crossAx val="242522752"/>
        <c:crosses val="autoZero"/>
        <c:auto val="1"/>
        <c:lblAlgn val="ctr"/>
        <c:lblOffset val="100"/>
        <c:noMultiLvlLbl val="0"/>
      </c:catAx>
      <c:valAx>
        <c:axId val="2425227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4252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'Panel chart summary'!$Q$10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4-4C00-A6EB-DCD6BFDE4530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696996897197539E-3"/>
                  <c:y val="-0.3302859945007793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501812297533596E-2"/>
                      <c:h val="0.289591761677087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471-44F8-86BF-37A7FE1176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summary'!$R$10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A4-4C00-A6EB-DCD6BFDE4530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93040293040293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71-44F8-86BF-37A7FE1176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summary'!$S$10</c:f>
              <c:numCache>
                <c:formatCode>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A4-4C00-A6EB-DCD6BFDE4530}"/>
            </c:ext>
          </c:extLst>
        </c:ser>
        <c:ser>
          <c:idx val="3"/>
          <c:order val="3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0702947845806656E-3"/>
                  <c:y val="-0.307692307692307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71-44F8-86BF-37A7FE1176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summary'!$T$10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4-4C00-A6EB-DCD6BFDE45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6972416"/>
        <c:axId val="246973952"/>
      </c:barChart>
      <c:catAx>
        <c:axId val="246972416"/>
        <c:scaling>
          <c:orientation val="minMax"/>
        </c:scaling>
        <c:delete val="1"/>
        <c:axPos val="l"/>
        <c:majorTickMark val="none"/>
        <c:minorTickMark val="none"/>
        <c:tickLblPos val="nextTo"/>
        <c:crossAx val="246973952"/>
        <c:crosses val="autoZero"/>
        <c:auto val="1"/>
        <c:lblAlgn val="ctr"/>
        <c:lblOffset val="100"/>
        <c:noMultiLvlLbl val="0"/>
      </c:catAx>
      <c:valAx>
        <c:axId val="2469739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4697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502487562189053E-3"/>
          <c:y val="8.2243555172041863E-2"/>
          <c:w val="0.98997493734335851"/>
          <c:h val="0.91775644482795815"/>
        </c:manualLayout>
      </c:layout>
      <c:barChart>
        <c:barDir val="bar"/>
        <c:grouping val="percentStacked"/>
        <c:varyColors val="0"/>
        <c:ser>
          <c:idx val="4"/>
          <c:order val="0"/>
          <c:invertIfNegative val="0"/>
          <c:dLbls>
            <c:delete val="1"/>
          </c:dLbls>
          <c:val>
            <c:numRef>
              <c:f>'Panel chart summary'!$K$11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C6-4926-96F8-071C66C17D18}"/>
            </c:ext>
          </c:extLst>
        </c:ser>
        <c:ser>
          <c:idx val="5"/>
          <c:order val="1"/>
          <c:spPr>
            <a:solidFill>
              <a:srgbClr val="FFFF00"/>
            </a:solidFill>
          </c:spPr>
          <c:invertIfNegative val="0"/>
          <c:dLbls>
            <c:delete val="1"/>
          </c:dLbls>
          <c:val>
            <c:numRef>
              <c:f>'Panel chart summary'!$L$11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5C6-4926-96F8-071C66C17D18}"/>
            </c:ext>
          </c:extLst>
        </c:ser>
        <c:ser>
          <c:idx val="6"/>
          <c:order val="2"/>
          <c:spPr>
            <a:solidFill>
              <a:srgbClr val="00B050"/>
            </a:solidFill>
          </c:spPr>
          <c:invertIfNegative val="0"/>
          <c:dLbls>
            <c:delete val="1"/>
          </c:dLbls>
          <c:val>
            <c:numRef>
              <c:f>'Panel chart summary'!$M$11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C6-4926-96F8-071C66C17D18}"/>
            </c:ext>
          </c:extLst>
        </c:ser>
        <c:ser>
          <c:idx val="7"/>
          <c:order val="3"/>
          <c:spPr>
            <a:solidFill>
              <a:schemeClr val="bg1">
                <a:lumMod val="8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0.46493954397295451"/>
                  <c:y val="-0.361155789526368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5C6-4926-96F8-071C66C17D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summary'!$N$11</c:f>
              <c:numCache>
                <c:formatCode>0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5C6-4926-96F8-071C66C17D18}"/>
            </c:ext>
          </c:extLst>
        </c:ser>
        <c:ser>
          <c:idx val="0"/>
          <c:order val="4"/>
          <c:invertIfNegative val="0"/>
          <c:dLbls>
            <c:delete val="1"/>
          </c:dLbls>
          <c:val>
            <c:numRef>
              <c:f>'Panel chart summary'!$K$11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6-4926-96F8-071C66C17D18}"/>
            </c:ext>
          </c:extLst>
        </c:ser>
        <c:ser>
          <c:idx val="1"/>
          <c:order val="5"/>
          <c:spPr>
            <a:solidFill>
              <a:srgbClr val="FFFF00"/>
            </a:solidFill>
          </c:spPr>
          <c:invertIfNegative val="0"/>
          <c:dLbls>
            <c:delete val="1"/>
          </c:dLbls>
          <c:val>
            <c:numRef>
              <c:f>'Panel chart summary'!$L$11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C6-4926-96F8-071C66C17D18}"/>
            </c:ext>
          </c:extLst>
        </c:ser>
        <c:ser>
          <c:idx val="2"/>
          <c:order val="6"/>
          <c:spPr>
            <a:solidFill>
              <a:srgbClr val="00B050"/>
            </a:solidFill>
          </c:spPr>
          <c:invertIfNegative val="0"/>
          <c:dLbls>
            <c:dLbl>
              <c:idx val="0"/>
              <c:layout>
                <c:manualLayout>
                  <c:x val="0.40615408439016715"/>
                  <c:y val="-0.375602021107423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C6-4926-96F8-071C66C17D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ctr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summary'!$M$11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C6-4926-96F8-071C66C17D18}"/>
            </c:ext>
          </c:extLst>
        </c:ser>
        <c:ser>
          <c:idx val="3"/>
          <c:order val="7"/>
          <c:spPr>
            <a:solidFill>
              <a:schemeClr val="bg1">
                <a:lumMod val="8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0.25651836908852665"/>
                  <c:y val="-0.332263326364258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C6-4926-96F8-071C66C17D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r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summary'!$N$11</c:f>
              <c:numCache>
                <c:formatCode>0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C6-4926-96F8-071C66C17D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7024640"/>
        <c:axId val="247038720"/>
      </c:barChart>
      <c:catAx>
        <c:axId val="24702464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47038720"/>
        <c:crosses val="autoZero"/>
        <c:auto val="1"/>
        <c:lblAlgn val="ctr"/>
        <c:lblOffset val="100"/>
        <c:noMultiLvlLbl val="0"/>
      </c:catAx>
      <c:valAx>
        <c:axId val="2470387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470246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0820508069273431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4"/>
          <c:order val="0"/>
          <c:invertIfNegative val="0"/>
          <c:dLbls>
            <c:delete val="1"/>
          </c:dLbls>
          <c:val>
            <c:numRef>
              <c:f>'Panel chart summary'!$K$9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51-47FD-9CDE-772C6F6B7318}"/>
            </c:ext>
          </c:extLst>
        </c:ser>
        <c:ser>
          <c:idx val="5"/>
          <c:order val="1"/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10-B551-47FD-9CDE-772C6F6B7318}"/>
              </c:ext>
            </c:extLst>
          </c:dPt>
          <c:dLbls>
            <c:delete val="1"/>
          </c:dLbls>
          <c:val>
            <c:numRef>
              <c:f>'Panel chart summary'!$L$9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51-47FD-9CDE-772C6F6B7318}"/>
            </c:ext>
          </c:extLst>
        </c:ser>
        <c:ser>
          <c:idx val="6"/>
          <c:order val="2"/>
          <c:spPr>
            <a:solidFill>
              <a:srgbClr val="00B05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-0.288863588403504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551-47FD-9CDE-772C6F6B73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summary'!$M$9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51-47FD-9CDE-772C6F6B7318}"/>
            </c:ext>
          </c:extLst>
        </c:ser>
        <c:ser>
          <c:idx val="7"/>
          <c:order val="3"/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</c:spPr>
          <c:invertIfNegative val="0"/>
          <c:dLbls>
            <c:delete val="1"/>
          </c:dLbls>
          <c:val>
            <c:numRef>
              <c:f>'Panel chart summary'!$N$9</c:f>
              <c:numCache>
                <c:formatCode>0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51-47FD-9CDE-772C6F6B7318}"/>
            </c:ext>
          </c:extLst>
        </c:ser>
        <c:ser>
          <c:idx val="0"/>
          <c:order val="4"/>
          <c:invertIfNegative val="0"/>
          <c:dLbls>
            <c:delete val="1"/>
          </c:dLbls>
          <c:val>
            <c:numRef>
              <c:f>'Panel chart summary'!$K$9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1-47FD-9CDE-772C6F6B7318}"/>
            </c:ext>
          </c:extLst>
        </c:ser>
        <c:ser>
          <c:idx val="1"/>
          <c:order val="5"/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6-B551-47FD-9CDE-772C6F6B7318}"/>
              </c:ext>
            </c:extLst>
          </c:dPt>
          <c:dLbls>
            <c:delete val="1"/>
          </c:dLbls>
          <c:val>
            <c:numRef>
              <c:f>'Panel chart summary'!$L$9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51-47FD-9CDE-772C6F6B7318}"/>
            </c:ext>
          </c:extLst>
        </c:ser>
        <c:ser>
          <c:idx val="2"/>
          <c:order val="6"/>
          <c:spPr>
            <a:solidFill>
              <a:srgbClr val="00B050"/>
            </a:solidFill>
          </c:spPr>
          <c:invertIfNegative val="0"/>
          <c:dLbls>
            <c:dLbl>
              <c:idx val="0"/>
              <c:layout>
                <c:manualLayout>
                  <c:x val="0.43834848256939452"/>
                  <c:y val="-0.288863588403504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51-47FD-9CDE-772C6F6B73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 algn="ctr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summary'!$M$9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51-47FD-9CDE-772C6F6B7318}"/>
            </c:ext>
          </c:extLst>
        </c:ser>
        <c:ser>
          <c:idx val="3"/>
          <c:order val="7"/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-0.26517377340617698"/>
                  <c:y val="-0.288863588403504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551-47FD-9CDE-772C6F6B73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 algn="r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summary'!$N$9</c:f>
              <c:numCache>
                <c:formatCode>0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51-47FD-9CDE-772C6F6B73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5549824"/>
        <c:axId val="235551360"/>
      </c:barChart>
      <c:catAx>
        <c:axId val="235549824"/>
        <c:scaling>
          <c:orientation val="minMax"/>
        </c:scaling>
        <c:delete val="1"/>
        <c:axPos val="l"/>
        <c:majorTickMark val="none"/>
        <c:minorTickMark val="none"/>
        <c:tickLblPos val="nextTo"/>
        <c:crossAx val="235551360"/>
        <c:crosses val="autoZero"/>
        <c:auto val="1"/>
        <c:lblAlgn val="ctr"/>
        <c:lblOffset val="100"/>
        <c:noMultiLvlLbl val="0"/>
      </c:catAx>
      <c:valAx>
        <c:axId val="2355513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554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Lbls>
            <c:delete val="1"/>
          </c:dLbls>
          <c:val>
            <c:numRef>
              <c:f>'Panel chart summary'!$Q$9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7-4A81-8C60-41766D4A3DC6}"/>
            </c:ext>
          </c:extLst>
        </c:ser>
        <c:ser>
          <c:idx val="1"/>
          <c:order val="1"/>
          <c:spPr>
            <a:solidFill>
              <a:srgbClr val="FFFF0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-0.307692307692307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39-457E-82F5-14626AC0FB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summary'!$R$9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67-45E3-AD9E-3447CFCBC0AB}"/>
            </c:ext>
          </c:extLst>
        </c:ser>
        <c:ser>
          <c:idx val="2"/>
          <c:order val="2"/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C339-457E-82F5-14626AC0FBC0}"/>
              </c:ext>
            </c:extLst>
          </c:dPt>
          <c:dLbls>
            <c:dLbl>
              <c:idx val="0"/>
              <c:layout>
                <c:manualLayout>
                  <c:x val="1.4710100974611756E-2"/>
                  <c:y val="-0.29303971753011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39-457E-82F5-14626AC0FB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summary'!$S$9</c:f>
              <c:numCache>
                <c:formatCode>0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67-45E3-AD9E-3447CFCBC0AB}"/>
            </c:ext>
          </c:extLst>
        </c:ser>
        <c:ser>
          <c:idx val="3"/>
          <c:order val="3"/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-0.31986548139335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39-457E-82F5-14626AC0FB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summary'!$T$9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67-45E3-AD9E-3447CFCBC0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5611264"/>
        <c:axId val="235612800"/>
      </c:barChart>
      <c:catAx>
        <c:axId val="235611264"/>
        <c:scaling>
          <c:orientation val="minMax"/>
        </c:scaling>
        <c:delete val="1"/>
        <c:axPos val="l"/>
        <c:majorTickMark val="none"/>
        <c:minorTickMark val="none"/>
        <c:tickLblPos val="nextTo"/>
        <c:crossAx val="235612800"/>
        <c:crosses val="autoZero"/>
        <c:auto val="1"/>
        <c:lblAlgn val="ctr"/>
        <c:lblOffset val="100"/>
        <c:noMultiLvlLbl val="0"/>
      </c:catAx>
      <c:valAx>
        <c:axId val="2356128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561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502487562189053E-3"/>
          <c:y val="8.2243555172041863E-2"/>
          <c:w val="0.98997493734335851"/>
          <c:h val="0.9177564448279581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Lbls>
            <c:dLbl>
              <c:idx val="0"/>
              <c:layout>
                <c:manualLayout>
                  <c:x val="-4.9604220811431312E-3"/>
                  <c:y val="-0.360959954524730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6F-4BE4-AB5F-E70CA02F93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r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summary'!$Q$11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1-4690-BD09-9D735D433EB8}"/>
            </c:ext>
          </c:extLst>
        </c:ser>
        <c:ser>
          <c:idx val="1"/>
          <c:order val="1"/>
          <c:spPr>
            <a:solidFill>
              <a:srgbClr val="FFFF00"/>
            </a:solidFill>
          </c:spPr>
          <c:invertIfNegative val="0"/>
          <c:dLbls>
            <c:delete val="1"/>
          </c:dLbls>
          <c:val>
            <c:numRef>
              <c:f>'Panel chart summary'!$R$11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6F-4BE4-AB5F-E70CA02F9341}"/>
            </c:ext>
          </c:extLst>
        </c:ser>
        <c:ser>
          <c:idx val="2"/>
          <c:order val="2"/>
          <c:spPr>
            <a:solidFill>
              <a:srgbClr val="00B05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-0.345919956419533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24-4A31-A658-59FB5EF5FC0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summary'!$S$11</c:f>
              <c:numCache>
                <c:formatCode>0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6F-4BE4-AB5F-E70CA02F9341}"/>
            </c:ext>
          </c:extLst>
        </c:ser>
        <c:ser>
          <c:idx val="3"/>
          <c:order val="3"/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1.818800418814839E-16"/>
                  <c:y val="-0.345919956419533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24-4A31-A658-59FB5EF5FC0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summary'!$T$11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F-4BE4-AB5F-E70CA02F93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7024640"/>
        <c:axId val="247038720"/>
      </c:barChart>
      <c:catAx>
        <c:axId val="247024640"/>
        <c:scaling>
          <c:orientation val="minMax"/>
        </c:scaling>
        <c:delete val="1"/>
        <c:axPos val="l"/>
        <c:majorTickMark val="none"/>
        <c:minorTickMark val="none"/>
        <c:tickLblPos val="nextTo"/>
        <c:crossAx val="247038720"/>
        <c:crosses val="autoZero"/>
        <c:auto val="1"/>
        <c:lblAlgn val="ctr"/>
        <c:lblOffset val="100"/>
        <c:noMultiLvlLbl val="0"/>
      </c:catAx>
      <c:valAx>
        <c:axId val="2470387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4702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'Panel chart summary'!$K$5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2-4711-B421-EF30C1178C6A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80627597170067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C2-4711-B421-EF30C1178C6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summary'!$L$5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2-4711-B421-EF30C1178C6A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91930218163597555"/>
                  <c:y val="-0.313642608601840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C2-4711-B421-EF30C1178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summary'!$M$5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2-4711-B421-EF30C1178C6A}"/>
            </c:ext>
          </c:extLst>
        </c:ser>
        <c:ser>
          <c:idx val="3"/>
          <c:order val="3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460115673230884E-17"/>
                  <c:y val="-0.2641200914541812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C2-4711-B421-EF30C1178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 algn="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summary'!$N$5</c:f>
              <c:numCache>
                <c:formatCode>0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2-4711-B421-EF30C1178C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3316352"/>
        <c:axId val="233317888"/>
      </c:barChart>
      <c:catAx>
        <c:axId val="233316352"/>
        <c:scaling>
          <c:orientation val="minMax"/>
        </c:scaling>
        <c:delete val="1"/>
        <c:axPos val="l"/>
        <c:majorTickMark val="none"/>
        <c:minorTickMark val="none"/>
        <c:tickLblPos val="nextTo"/>
        <c:crossAx val="233317888"/>
        <c:crosses val="autoZero"/>
        <c:auto val="1"/>
        <c:lblAlgn val="ctr"/>
        <c:lblOffset val="100"/>
        <c:noMultiLvlLbl val="0"/>
      </c:catAx>
      <c:valAx>
        <c:axId val="233317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331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095392684185814E-3"/>
          <c:y val="7.7178260810320337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32973029661294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7D-4788-82E4-001CE50010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l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summary'!$Q$6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D-4788-82E4-001CE5001033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'Panel chart summary'!$R$6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D-4788-82E4-001CE5001033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5342469283852998E-2"/>
                  <c:y val="-0.332973029661294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7D-4788-82E4-001CE50010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summary'!$S$6</c:f>
              <c:numCache>
                <c:formatCode>0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7D-4788-82E4-001CE5001033}"/>
            </c:ext>
          </c:extLst>
        </c:ser>
        <c:ser>
          <c:idx val="3"/>
          <c:order val="3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228312855901998E-2"/>
                  <c:y val="-0.3481081673731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7D-4788-82E4-001CE50010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 algn="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summary'!$T$6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7D-4788-82E4-001CE50010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5742336"/>
        <c:axId val="235743872"/>
      </c:barChart>
      <c:catAx>
        <c:axId val="235742336"/>
        <c:scaling>
          <c:orientation val="minMax"/>
        </c:scaling>
        <c:delete val="1"/>
        <c:axPos val="l"/>
        <c:majorTickMark val="none"/>
        <c:minorTickMark val="none"/>
        <c:tickLblPos val="nextTo"/>
        <c:crossAx val="235743872"/>
        <c:crosses val="autoZero"/>
        <c:auto val="1"/>
        <c:lblAlgn val="ctr"/>
        <c:lblOffset val="100"/>
        <c:noMultiLvlLbl val="0"/>
      </c:catAx>
      <c:valAx>
        <c:axId val="2357438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574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0820508069273431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4"/>
          <c:order val="0"/>
          <c:invertIfNegative val="0"/>
          <c:dLbls>
            <c:delete val="1"/>
          </c:dLbls>
          <c:val>
            <c:numRef>
              <c:f>'Panel chart summary'!$K$10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E0-4D1A-8BB9-82BA7FE75602}"/>
            </c:ext>
          </c:extLst>
        </c:ser>
        <c:ser>
          <c:idx val="5"/>
          <c:order val="1"/>
          <c:invertIfNegative val="0"/>
          <c:dLbls>
            <c:dLbl>
              <c:idx val="0"/>
              <c:layout>
                <c:manualLayout>
                  <c:x val="0.91457893276824287"/>
                  <c:y val="-0.27281561126997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8E0-4D1A-8BB9-82BA7FE7560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summary'!$L$10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E0-4D1A-8BB9-82BA7FE75602}"/>
            </c:ext>
          </c:extLst>
        </c:ser>
        <c:ser>
          <c:idx val="6"/>
          <c:order val="2"/>
          <c:spPr>
            <a:solidFill>
              <a:srgbClr val="00B05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-0.288863588403504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8E0-4D1A-8BB9-82BA7FE7560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'Panel chart summary'!$M$10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8E0-4D1A-8BB9-82BA7FE75602}"/>
            </c:ext>
          </c:extLst>
        </c:ser>
        <c:ser>
          <c:idx val="7"/>
          <c:order val="3"/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</c:spPr>
          <c:invertIfNegative val="0"/>
          <c:dLbls>
            <c:delete val="1"/>
          </c:dLbls>
          <c:val>
            <c:numRef>
              <c:f>'Panel chart summary'!$N$10</c:f>
              <c:numCache>
                <c:formatCode>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E0-4D1A-8BB9-82BA7FE75602}"/>
            </c:ext>
          </c:extLst>
        </c:ser>
        <c:ser>
          <c:idx val="0"/>
          <c:order val="4"/>
          <c:invertIfNegative val="0"/>
          <c:dLbls>
            <c:delete val="1"/>
          </c:dLbls>
          <c:val>
            <c:numRef>
              <c:f>'Panel chart summary'!$K$10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0-4D1A-8BB9-82BA7FE75602}"/>
            </c:ext>
          </c:extLst>
        </c:ser>
        <c:ser>
          <c:idx val="1"/>
          <c:order val="5"/>
          <c:invertIfNegative val="0"/>
          <c:dLbls>
            <c:delete val="1"/>
          </c:dLbls>
          <c:val>
            <c:numRef>
              <c:f>'Panel chart summary'!$L$10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E0-4D1A-8BB9-82BA7FE75602}"/>
            </c:ext>
          </c:extLst>
        </c:ser>
        <c:ser>
          <c:idx val="2"/>
          <c:order val="6"/>
          <c:spPr>
            <a:solidFill>
              <a:srgbClr val="00B050"/>
            </a:solidFill>
          </c:spPr>
          <c:invertIfNegative val="0"/>
          <c:dLbls>
            <c:delete val="1"/>
          </c:dLbls>
          <c:val>
            <c:numRef>
              <c:f>'Panel chart summary'!$M$10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E0-4D1A-8BB9-82BA7FE75602}"/>
            </c:ext>
          </c:extLst>
        </c:ser>
        <c:ser>
          <c:idx val="3"/>
          <c:order val="7"/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-0.24893864442212538"/>
                  <c:y val="-0.288863588403504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8E0-4D1A-8BB9-82BA7FE756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 algn="r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'Panel chart summary'!$N$10</c:f>
              <c:numCache>
                <c:formatCode>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E0-4D1A-8BB9-82BA7FE756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5549824"/>
        <c:axId val="235551360"/>
      </c:barChart>
      <c:catAx>
        <c:axId val="235549824"/>
        <c:scaling>
          <c:orientation val="minMax"/>
        </c:scaling>
        <c:delete val="1"/>
        <c:axPos val="l"/>
        <c:majorTickMark val="none"/>
        <c:minorTickMark val="none"/>
        <c:tickLblPos val="nextTo"/>
        <c:crossAx val="235551360"/>
        <c:crosses val="autoZero"/>
        <c:auto val="1"/>
        <c:lblAlgn val="ctr"/>
        <c:lblOffset val="100"/>
        <c:noMultiLvlLbl val="0"/>
      </c:catAx>
      <c:valAx>
        <c:axId val="2355513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554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714258289158892E-2"/>
          <c:w val="0.98997493734335851"/>
          <c:h val="0.9085714834216823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'Panel chart summary'!$K$8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8-4AFC-8A02-12F15E4E8524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91930218163597555"/>
                  <c:y val="-0.31364260860184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B8-4AFC-8A02-12F15E4E852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summary'!$L$8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8-4AFC-8A02-12F15E4E8524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13642608601840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B8-4AFC-8A02-12F15E4E8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summary'!$M$8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B8-4AFC-8A02-12F15E4E8524}"/>
            </c:ext>
          </c:extLst>
        </c:ser>
        <c:ser>
          <c:idx val="3"/>
          <c:order val="3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13642608601840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B8-4AFC-8A02-12F15E4E8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Overflow="overflow" horzOverflow="overflow" vert="horz">
                <a:spAutoFit/>
              </a:bodyPr>
              <a:lstStyle/>
              <a:p>
                <a:pPr algn="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'Panel chart summary'!$N$8</c:f>
              <c:numCache>
                <c:formatCode>0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B8-4AFC-8A02-12F15E4E85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3316352"/>
        <c:axId val="233317888"/>
      </c:barChart>
      <c:catAx>
        <c:axId val="233316352"/>
        <c:scaling>
          <c:orientation val="minMax"/>
        </c:scaling>
        <c:delete val="1"/>
        <c:axPos val="l"/>
        <c:majorTickMark val="none"/>
        <c:minorTickMark val="none"/>
        <c:tickLblPos val="nextTo"/>
        <c:crossAx val="233317888"/>
        <c:crosses val="autoZero"/>
        <c:auto val="1"/>
        <c:lblAlgn val="ctr"/>
        <c:lblOffset val="100"/>
        <c:noMultiLvlLbl val="0"/>
      </c:catAx>
      <c:valAx>
        <c:axId val="233317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3331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457473</xdr:colOff>
      <xdr:row>19</xdr:row>
      <xdr:rowOff>127413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9CCE25F-595D-0A98-47EE-39DFFC6AA7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0" y="0"/>
          <a:ext cx="7142043" cy="3630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</xdr:colOff>
      <xdr:row>13</xdr:row>
      <xdr:rowOff>0</xdr:rowOff>
    </xdr:from>
    <xdr:ext cx="1276350" cy="8588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57150</xdr:colOff>
      <xdr:row>13</xdr:row>
      <xdr:rowOff>0</xdr:rowOff>
    </xdr:from>
    <xdr:ext cx="1276350" cy="85447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57150</xdr:colOff>
      <xdr:row>13</xdr:row>
      <xdr:rowOff>0</xdr:rowOff>
    </xdr:from>
    <xdr:ext cx="1276350" cy="85203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76200</xdr:colOff>
      <xdr:row>13</xdr:row>
      <xdr:rowOff>0</xdr:rowOff>
    </xdr:from>
    <xdr:ext cx="1276350" cy="8615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66675</xdr:colOff>
      <xdr:row>13</xdr:row>
      <xdr:rowOff>0</xdr:rowOff>
    </xdr:from>
    <xdr:ext cx="1276350" cy="858838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66675</xdr:colOff>
      <xdr:row>13</xdr:row>
      <xdr:rowOff>0</xdr:rowOff>
    </xdr:from>
    <xdr:ext cx="1276350" cy="858838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7</xdr:col>
      <xdr:colOff>66675</xdr:colOff>
      <xdr:row>13</xdr:row>
      <xdr:rowOff>0</xdr:rowOff>
    </xdr:from>
    <xdr:ext cx="1276350" cy="858838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7</xdr:col>
      <xdr:colOff>66675</xdr:colOff>
      <xdr:row>13</xdr:row>
      <xdr:rowOff>0</xdr:rowOff>
    </xdr:from>
    <xdr:ext cx="1276350" cy="862921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8</xdr:col>
      <xdr:colOff>57150</xdr:colOff>
      <xdr:row>13</xdr:row>
      <xdr:rowOff>0</xdr:rowOff>
    </xdr:from>
    <xdr:ext cx="1276350" cy="866775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</xdr:col>
      <xdr:colOff>57150</xdr:colOff>
      <xdr:row>13</xdr:row>
      <xdr:rowOff>0</xdr:rowOff>
    </xdr:from>
    <xdr:ext cx="1276350" cy="866775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</xdr:col>
      <xdr:colOff>57150</xdr:colOff>
      <xdr:row>13</xdr:row>
      <xdr:rowOff>0</xdr:rowOff>
    </xdr:from>
    <xdr:ext cx="1276350" cy="866775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</xdr:col>
      <xdr:colOff>76200</xdr:colOff>
      <xdr:row>13</xdr:row>
      <xdr:rowOff>0</xdr:rowOff>
    </xdr:from>
    <xdr:ext cx="1276350" cy="866775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</xdr:col>
      <xdr:colOff>66675</xdr:colOff>
      <xdr:row>13</xdr:row>
      <xdr:rowOff>0</xdr:rowOff>
    </xdr:from>
    <xdr:ext cx="1276350" cy="866775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8</xdr:col>
      <xdr:colOff>66675</xdr:colOff>
      <xdr:row>13</xdr:row>
      <xdr:rowOff>0</xdr:rowOff>
    </xdr:from>
    <xdr:ext cx="1276350" cy="866775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8</xdr:col>
      <xdr:colOff>66675</xdr:colOff>
      <xdr:row>13</xdr:row>
      <xdr:rowOff>0</xdr:rowOff>
    </xdr:from>
    <xdr:ext cx="1276350" cy="866775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8</xdr:col>
      <xdr:colOff>66675</xdr:colOff>
      <xdr:row>13</xdr:row>
      <xdr:rowOff>0</xdr:rowOff>
    </xdr:from>
    <xdr:ext cx="1276350" cy="866775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twoCellAnchor>
    <xdr:from>
      <xdr:col>7</xdr:col>
      <xdr:colOff>283723</xdr:colOff>
      <xdr:row>5</xdr:row>
      <xdr:rowOff>14270</xdr:rowOff>
    </xdr:from>
    <xdr:to>
      <xdr:col>7</xdr:col>
      <xdr:colOff>2590799</xdr:colOff>
      <xdr:row>5</xdr:row>
      <xdr:rowOff>783617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283722</xdr:colOff>
      <xdr:row>6</xdr:row>
      <xdr:rowOff>43545</xdr:rowOff>
    </xdr:from>
    <xdr:to>
      <xdr:col>7</xdr:col>
      <xdr:colOff>2590799</xdr:colOff>
      <xdr:row>6</xdr:row>
      <xdr:rowOff>952501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235882</xdr:colOff>
      <xdr:row>4</xdr:row>
      <xdr:rowOff>68034</xdr:rowOff>
    </xdr:from>
    <xdr:to>
      <xdr:col>8</xdr:col>
      <xdr:colOff>2721429</xdr:colOff>
      <xdr:row>5</xdr:row>
      <xdr:rowOff>13510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249946</xdr:colOff>
      <xdr:row>6</xdr:row>
      <xdr:rowOff>95593</xdr:rowOff>
    </xdr:from>
    <xdr:to>
      <xdr:col>8</xdr:col>
      <xdr:colOff>2867025</xdr:colOff>
      <xdr:row>7</xdr:row>
      <xdr:rowOff>72315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229679</xdr:colOff>
      <xdr:row>7</xdr:row>
      <xdr:rowOff>63499</xdr:rowOff>
    </xdr:from>
    <xdr:to>
      <xdr:col>8</xdr:col>
      <xdr:colOff>2867024</xdr:colOff>
      <xdr:row>7</xdr:row>
      <xdr:rowOff>993032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303989</xdr:colOff>
      <xdr:row>9</xdr:row>
      <xdr:rowOff>75749</xdr:rowOff>
    </xdr:from>
    <xdr:to>
      <xdr:col>8</xdr:col>
      <xdr:colOff>2879725</xdr:colOff>
      <xdr:row>9</xdr:row>
      <xdr:rowOff>932234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264585</xdr:colOff>
      <xdr:row>10</xdr:row>
      <xdr:rowOff>38100</xdr:rowOff>
    </xdr:from>
    <xdr:to>
      <xdr:col>7</xdr:col>
      <xdr:colOff>2641023</xdr:colOff>
      <xdr:row>10</xdr:row>
      <xdr:rowOff>917222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264584</xdr:colOff>
      <xdr:row>8</xdr:row>
      <xdr:rowOff>125845</xdr:rowOff>
    </xdr:from>
    <xdr:to>
      <xdr:col>7</xdr:col>
      <xdr:colOff>2611347</xdr:colOff>
      <xdr:row>8</xdr:row>
      <xdr:rowOff>917222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276967</xdr:colOff>
      <xdr:row>8</xdr:row>
      <xdr:rowOff>37650</xdr:rowOff>
    </xdr:from>
    <xdr:to>
      <xdr:col>8</xdr:col>
      <xdr:colOff>2867024</xdr:colOff>
      <xdr:row>8</xdr:row>
      <xdr:rowOff>871438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</xdr:col>
      <xdr:colOff>276968</xdr:colOff>
      <xdr:row>10</xdr:row>
      <xdr:rowOff>0</xdr:rowOff>
    </xdr:from>
    <xdr:to>
      <xdr:col>8</xdr:col>
      <xdr:colOff>2834268</xdr:colOff>
      <xdr:row>10</xdr:row>
      <xdr:rowOff>743415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345674</xdr:colOff>
      <xdr:row>4</xdr:row>
      <xdr:rowOff>14270</xdr:rowOff>
    </xdr:from>
    <xdr:to>
      <xdr:col>7</xdr:col>
      <xdr:colOff>2652750</xdr:colOff>
      <xdr:row>4</xdr:row>
      <xdr:rowOff>783617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226786</xdr:colOff>
      <xdr:row>5</xdr:row>
      <xdr:rowOff>0</xdr:rowOff>
    </xdr:from>
    <xdr:to>
      <xdr:col>8</xdr:col>
      <xdr:colOff>2710089</xdr:colOff>
      <xdr:row>5</xdr:row>
      <xdr:rowOff>839107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</xdr:col>
      <xdr:colOff>272143</xdr:colOff>
      <xdr:row>9</xdr:row>
      <xdr:rowOff>56696</xdr:rowOff>
    </xdr:from>
    <xdr:to>
      <xdr:col>7</xdr:col>
      <xdr:colOff>2618906</xdr:colOff>
      <xdr:row>9</xdr:row>
      <xdr:rowOff>848073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278780</xdr:colOff>
      <xdr:row>7</xdr:row>
      <xdr:rowOff>232317</xdr:rowOff>
    </xdr:from>
    <xdr:to>
      <xdr:col>7</xdr:col>
      <xdr:colOff>2585856</xdr:colOff>
      <xdr:row>7</xdr:row>
      <xdr:rowOff>1001664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178920</xdr:colOff>
      <xdr:row>0</xdr:row>
      <xdr:rowOff>160244</xdr:rowOff>
    </xdr:from>
    <xdr:to>
      <xdr:col>1</xdr:col>
      <xdr:colOff>837765</xdr:colOff>
      <xdr:row>0</xdr:row>
      <xdr:rowOff>932093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920" y="160244"/>
          <a:ext cx="1109695" cy="771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chittck/Local%20Settings/Temporary%20Internet%20Files/OLK12/windows/TEMP/EPMT%20Report%2009_06_00.xls" TargetMode="External"/><Relationship Id="rId1" Type="http://schemas.openxmlformats.org/officeDocument/2006/relationships/externalLinkPath" Target="/Documents%20and%20Settings/chittck/Local%20Settings/Temporary%20Internet%20Files/OLK12/windows/TEMP/EPMT%20Report%2009_06_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5051\Chinmay\Data\Subjective%20Appraisals\Subjective%20Appraisal%20Resul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from MSP"/>
      <sheetName val="EPAT Report"/>
      <sheetName val="Metric Update Macro"/>
      <sheetName val="TV"/>
    </sheetNames>
    <sheetDataSet>
      <sheetData sheetId="0">
        <row r="4">
          <cell r="A4">
            <v>1</v>
          </cell>
          <cell r="B4" t="str">
            <v>1</v>
          </cell>
          <cell r="C4" t="str">
            <v>CYLINDER HEAD</v>
          </cell>
          <cell r="D4">
            <v>36444.333333333328</v>
          </cell>
          <cell r="E4">
            <v>36444.333333333328</v>
          </cell>
          <cell r="F4">
            <v>36444.333333333328</v>
          </cell>
          <cell r="G4" t="str">
            <v>0</v>
          </cell>
        </row>
        <row r="5">
          <cell r="A5">
            <v>1.1000000000000001</v>
          </cell>
          <cell r="B5" t="str">
            <v>1</v>
          </cell>
          <cell r="C5" t="str">
            <v>1st iteration cylinder head analysis results ready for phase 2</v>
          </cell>
          <cell r="D5">
            <v>36699.708333333328</v>
          </cell>
          <cell r="E5">
            <v>36699.708333333328</v>
          </cell>
          <cell r="F5">
            <v>36699.708333333328</v>
          </cell>
          <cell r="G5" t="str">
            <v>1</v>
          </cell>
        </row>
        <row r="6">
          <cell r="A6">
            <v>1.2</v>
          </cell>
          <cell r="B6" t="str">
            <v>1</v>
          </cell>
          <cell r="C6" t="str">
            <v>2nd iteration of analysis complete</v>
          </cell>
          <cell r="D6">
            <v>36798.708333333328</v>
          </cell>
          <cell r="E6">
            <v>36789.708333333328</v>
          </cell>
          <cell r="F6">
            <v>36789.708333333328</v>
          </cell>
          <cell r="G6" t="str">
            <v>2</v>
          </cell>
        </row>
        <row r="7">
          <cell r="A7">
            <v>1.7</v>
          </cell>
          <cell r="B7" t="str">
            <v>1</v>
          </cell>
          <cell r="C7" t="str">
            <v>CAD Concept head slice available</v>
          </cell>
          <cell r="D7">
            <v>36630.708333333328</v>
          </cell>
          <cell r="E7">
            <v>36636.708333333328</v>
          </cell>
          <cell r="F7">
            <v>36630.708333333328</v>
          </cell>
          <cell r="G7" t="str">
            <v>7</v>
          </cell>
        </row>
        <row r="8">
          <cell r="A8">
            <v>1.3</v>
          </cell>
          <cell r="B8" t="str">
            <v>1</v>
          </cell>
          <cell r="C8" t="str">
            <v>Cylinder Head CAD model available</v>
          </cell>
          <cell r="D8">
            <v>36693.708333333328</v>
          </cell>
          <cell r="E8">
            <v>36655.708333333328</v>
          </cell>
          <cell r="F8">
            <v>36677.708333333328</v>
          </cell>
          <cell r="G8" t="str">
            <v>3</v>
          </cell>
        </row>
        <row r="9">
          <cell r="A9">
            <v>1.4</v>
          </cell>
          <cell r="B9" t="str">
            <v>1</v>
          </cell>
          <cell r="C9" t="str">
            <v>Detailed drawings complete</v>
          </cell>
          <cell r="D9">
            <v>36776.708333333328</v>
          </cell>
          <cell r="E9">
            <v>36767.708333333328</v>
          </cell>
          <cell r="F9">
            <v>36767.708333333328</v>
          </cell>
          <cell r="G9" t="str">
            <v>4</v>
          </cell>
        </row>
        <row r="10">
          <cell r="A10">
            <v>1.5</v>
          </cell>
          <cell r="B10" t="str">
            <v>1</v>
          </cell>
          <cell r="C10" t="str">
            <v>Prototype parts suppliers agreed</v>
          </cell>
          <cell r="D10">
            <v>36602.708333333328</v>
          </cell>
          <cell r="E10">
            <v>36591.708333333328</v>
          </cell>
          <cell r="F10">
            <v>36602.708333333328</v>
          </cell>
          <cell r="G10" t="str">
            <v>5</v>
          </cell>
        </row>
        <row r="11">
          <cell r="A11">
            <v>1.6</v>
          </cell>
          <cell r="B11" t="str">
            <v>1</v>
          </cell>
          <cell r="C11" t="str">
            <v>Part(s) received at Dunton (1st 4 engines) - Cyl head MRD</v>
          </cell>
          <cell r="D11">
            <v>36839.708333333328</v>
          </cell>
          <cell r="E11">
            <v>36824.708333333328</v>
          </cell>
          <cell r="F11">
            <v>36830.708333333328</v>
          </cell>
          <cell r="G11" t="str">
            <v>6</v>
          </cell>
        </row>
        <row r="12">
          <cell r="A12">
            <v>2</v>
          </cell>
          <cell r="B12" t="str">
            <v>2</v>
          </cell>
          <cell r="C12" t="str">
            <v>CYLINDER BLOCK</v>
          </cell>
          <cell r="D12">
            <v>36444.333333333328</v>
          </cell>
          <cell r="E12">
            <v>36444.333333333328</v>
          </cell>
          <cell r="F12">
            <v>36444.333333333328</v>
          </cell>
          <cell r="G12" t="str">
            <v>0</v>
          </cell>
        </row>
        <row r="13">
          <cell r="A13">
            <v>2.1</v>
          </cell>
          <cell r="B13" t="str">
            <v>2</v>
          </cell>
          <cell r="C13" t="str">
            <v>1st iteration of cylinder block analysis complete</v>
          </cell>
          <cell r="D13">
            <v>36742.708333333328</v>
          </cell>
          <cell r="E13">
            <v>36691.708333333328</v>
          </cell>
          <cell r="F13">
            <v>36704.708333333328</v>
          </cell>
          <cell r="G13" t="str">
            <v>1</v>
          </cell>
        </row>
        <row r="14">
          <cell r="A14">
            <v>2.2000000000000002</v>
          </cell>
          <cell r="B14" t="str">
            <v>2</v>
          </cell>
          <cell r="C14" t="str">
            <v>2nd iteration of cylinder block analysis complete</v>
          </cell>
          <cell r="D14">
            <v>36775.708333333328</v>
          </cell>
          <cell r="E14">
            <v>36728.708333333328</v>
          </cell>
          <cell r="F14">
            <v>36752.708333333328</v>
          </cell>
          <cell r="G14" t="str">
            <v>2</v>
          </cell>
        </row>
        <row r="15">
          <cell r="A15">
            <v>2.7</v>
          </cell>
          <cell r="B15" t="str">
            <v>2</v>
          </cell>
          <cell r="C15" t="str">
            <v>Bottom end concept confirmed</v>
          </cell>
          <cell r="D15">
            <v>36665.708333333328</v>
          </cell>
          <cell r="E15">
            <v>36581.708333333328</v>
          </cell>
          <cell r="F15">
            <v>36658.333333333328</v>
          </cell>
          <cell r="G15" t="str">
            <v>7</v>
          </cell>
        </row>
        <row r="16">
          <cell r="A16">
            <v>2.5</v>
          </cell>
          <cell r="B16" t="str">
            <v>2</v>
          </cell>
          <cell r="C16" t="str">
            <v>AP Prototype parts supplier agreement required</v>
          </cell>
          <cell r="D16">
            <v>36658.708333333328</v>
          </cell>
          <cell r="E16">
            <v>36591.708333333328</v>
          </cell>
          <cell r="F16">
            <v>36634.708333333328</v>
          </cell>
          <cell r="G16" t="str">
            <v>5</v>
          </cell>
        </row>
        <row r="17">
          <cell r="A17">
            <v>3</v>
          </cell>
          <cell r="B17" t="str">
            <v>3</v>
          </cell>
          <cell r="C17" t="str">
            <v>LADDER FRAME &amp; BEARING CAPS</v>
          </cell>
          <cell r="D17">
            <v>36444.333333333328</v>
          </cell>
          <cell r="E17">
            <v>36444.333333333328</v>
          </cell>
          <cell r="F17">
            <v>36444.333333333328</v>
          </cell>
          <cell r="G17" t="str">
            <v>0</v>
          </cell>
        </row>
        <row r="18">
          <cell r="A18">
            <v>3.7</v>
          </cell>
          <cell r="B18" t="str">
            <v>3</v>
          </cell>
          <cell r="C18" t="str">
            <v>Concept/layout agreed</v>
          </cell>
          <cell r="D18">
            <v>36560.708333333328</v>
          </cell>
          <cell r="E18">
            <v>36560.708333333328</v>
          </cell>
          <cell r="F18">
            <v>36560.708333333328</v>
          </cell>
          <cell r="G18" t="str">
            <v>7</v>
          </cell>
        </row>
        <row r="19">
          <cell r="A19">
            <v>3.3</v>
          </cell>
          <cell r="B19" t="str">
            <v>3</v>
          </cell>
          <cell r="C19" t="str">
            <v>Ladderframe CAD models available</v>
          </cell>
          <cell r="D19">
            <v>36749.708333333328</v>
          </cell>
          <cell r="E19">
            <v>36732.708333333328</v>
          </cell>
          <cell r="F19">
            <v>36777.708333333328</v>
          </cell>
          <cell r="G19" t="str">
            <v>3</v>
          </cell>
        </row>
        <row r="20">
          <cell r="A20">
            <v>3.4</v>
          </cell>
          <cell r="B20" t="str">
            <v>3</v>
          </cell>
          <cell r="C20" t="str">
            <v>Detailed drawings complete</v>
          </cell>
          <cell r="D20">
            <v>36770.708333333328</v>
          </cell>
          <cell r="E20">
            <v>36753.708333333328</v>
          </cell>
          <cell r="F20">
            <v>36798.708333333328</v>
          </cell>
          <cell r="G20" t="str">
            <v>4</v>
          </cell>
        </row>
        <row r="21">
          <cell r="A21">
            <v>3.5</v>
          </cell>
          <cell r="B21" t="str">
            <v>3</v>
          </cell>
          <cell r="C21" t="str">
            <v>Ladderframe prototype supplier agreed</v>
          </cell>
          <cell r="D21">
            <v>36633.708333333328</v>
          </cell>
          <cell r="E21">
            <v>36612.708333333328</v>
          </cell>
          <cell r="F21">
            <v>36633.708333333328</v>
          </cell>
          <cell r="G21" t="str">
            <v>5</v>
          </cell>
        </row>
        <row r="22">
          <cell r="A22">
            <v>3.6</v>
          </cell>
          <cell r="B22" t="str">
            <v>3</v>
          </cell>
          <cell r="C22" t="str">
            <v>Ladderframe rapid prototype MRD</v>
          </cell>
          <cell r="D22">
            <v>36833.708333333328</v>
          </cell>
          <cell r="E22">
            <v>36795.708333333328</v>
          </cell>
          <cell r="F22">
            <v>36840.708333333328</v>
          </cell>
          <cell r="G22" t="str">
            <v>6</v>
          </cell>
        </row>
        <row r="23">
          <cell r="A23">
            <v>18</v>
          </cell>
          <cell r="B23" t="str">
            <v>18</v>
          </cell>
          <cell r="C23" t="str">
            <v>OIL PAN (and Pick-up)</v>
          </cell>
          <cell r="D23">
            <v>36444.333333333328</v>
          </cell>
          <cell r="E23">
            <v>36444.333333333328</v>
          </cell>
          <cell r="F23">
            <v>36444.333333333328</v>
          </cell>
          <cell r="G23" t="str">
            <v>0</v>
          </cell>
        </row>
        <row r="24">
          <cell r="A24">
            <v>18.100000000000001</v>
          </cell>
          <cell r="B24" t="str">
            <v>18</v>
          </cell>
          <cell r="C24" t="str">
            <v>1st iteration of analysis complete</v>
          </cell>
          <cell r="D24">
            <v>36752.708333333328</v>
          </cell>
          <cell r="E24">
            <v>36656.708333333328</v>
          </cell>
          <cell r="F24">
            <v>36658.708333333328</v>
          </cell>
          <cell r="G24" t="str">
            <v>1</v>
          </cell>
        </row>
        <row r="25">
          <cell r="A25">
            <v>18.7</v>
          </cell>
          <cell r="B25" t="str">
            <v>18</v>
          </cell>
          <cell r="C25" t="str">
            <v>Concept/Layout agreed</v>
          </cell>
          <cell r="D25">
            <v>36710.708333333328</v>
          </cell>
          <cell r="E25">
            <v>36614.708333333328</v>
          </cell>
          <cell r="F25">
            <v>36613.708333333328</v>
          </cell>
          <cell r="G25" t="str">
            <v>7</v>
          </cell>
        </row>
        <row r="26">
          <cell r="A26">
            <v>18.3</v>
          </cell>
          <cell r="B26" t="str">
            <v>18</v>
          </cell>
          <cell r="C26" t="str">
            <v>CAD model available</v>
          </cell>
          <cell r="D26">
            <v>36752.708333333328</v>
          </cell>
          <cell r="E26">
            <v>36732.708333333328</v>
          </cell>
          <cell r="F26">
            <v>36777.708333333328</v>
          </cell>
          <cell r="G26" t="str">
            <v>3</v>
          </cell>
        </row>
        <row r="27">
          <cell r="A27">
            <v>18.399999999999999</v>
          </cell>
          <cell r="B27" t="str">
            <v>18</v>
          </cell>
          <cell r="C27" t="str">
            <v>Detailed drawings complete</v>
          </cell>
          <cell r="D27">
            <v>36773.708333333328</v>
          </cell>
          <cell r="E27">
            <v>36753.708333333328</v>
          </cell>
          <cell r="F27">
            <v>36798.708333333328</v>
          </cell>
          <cell r="G27" t="str">
            <v>4</v>
          </cell>
        </row>
        <row r="28">
          <cell r="A28">
            <v>18.5</v>
          </cell>
          <cell r="B28" t="str">
            <v>18</v>
          </cell>
          <cell r="C28" t="str">
            <v>Oil pan prototype supplier agreed</v>
          </cell>
          <cell r="D28">
            <v>36745.708333333328</v>
          </cell>
          <cell r="E28">
            <v>36598.708333333328</v>
          </cell>
          <cell r="F28">
            <v>36651.708333333328</v>
          </cell>
          <cell r="G28" t="str">
            <v>5</v>
          </cell>
        </row>
        <row r="29">
          <cell r="A29">
            <v>18.600000000000001</v>
          </cell>
          <cell r="B29" t="str">
            <v>18</v>
          </cell>
          <cell r="C29" t="str">
            <v>Oil pan MRD</v>
          </cell>
          <cell r="D29">
            <v>36836.708333333328</v>
          </cell>
          <cell r="E29">
            <v>36816.708333333328</v>
          </cell>
          <cell r="F29">
            <v>36861.708333333328</v>
          </cell>
          <cell r="G29" t="str">
            <v>6</v>
          </cell>
        </row>
        <row r="30">
          <cell r="A30">
            <v>4</v>
          </cell>
          <cell r="B30" t="str">
            <v>4</v>
          </cell>
          <cell r="C30" t="str">
            <v xml:space="preserve">CRANKSHAFT </v>
          </cell>
          <cell r="D30">
            <v>36444.333333333328</v>
          </cell>
          <cell r="E30">
            <v>36444.333333333328</v>
          </cell>
          <cell r="F30">
            <v>36444.333333333328</v>
          </cell>
          <cell r="G30" t="str">
            <v>0</v>
          </cell>
        </row>
        <row r="31">
          <cell r="A31">
            <v>4.0999999999999996</v>
          </cell>
          <cell r="B31" t="str">
            <v>4</v>
          </cell>
          <cell r="C31" t="str">
            <v>Crankshaft 1st iteration analysis results ready for phase 2</v>
          </cell>
          <cell r="D31">
            <v>36734.708333333328</v>
          </cell>
          <cell r="E31">
            <v>36686.708333333328</v>
          </cell>
          <cell r="F31">
            <v>36726.708333333328</v>
          </cell>
          <cell r="G31" t="str">
            <v>1</v>
          </cell>
        </row>
        <row r="32">
          <cell r="A32">
            <v>4.7</v>
          </cell>
          <cell r="B32" t="str">
            <v>4</v>
          </cell>
          <cell r="C32" t="str">
            <v xml:space="preserve">A1 CAD crankshaft available </v>
          </cell>
          <cell r="D32">
            <v>36627.708333333328</v>
          </cell>
          <cell r="E32">
            <v>36601.708333333328</v>
          </cell>
          <cell r="F32">
            <v>36627.708333333328</v>
          </cell>
          <cell r="G32" t="str">
            <v>7</v>
          </cell>
        </row>
        <row r="33">
          <cell r="A33">
            <v>4.3</v>
          </cell>
          <cell r="B33" t="str">
            <v>4</v>
          </cell>
          <cell r="C33" t="str">
            <v>Crankshaft CAD model available</v>
          </cell>
          <cell r="D33">
            <v>36728.708333333328</v>
          </cell>
          <cell r="E33">
            <v>36684.708333333328</v>
          </cell>
          <cell r="F33">
            <v>36719.708333333328</v>
          </cell>
          <cell r="G33" t="str">
            <v>3</v>
          </cell>
        </row>
        <row r="34">
          <cell r="A34">
            <v>4.4000000000000004</v>
          </cell>
          <cell r="B34" t="str">
            <v>4</v>
          </cell>
          <cell r="C34" t="str">
            <v>Crankshaft detailed drawings complete</v>
          </cell>
          <cell r="D34">
            <v>36749.708333333328</v>
          </cell>
          <cell r="E34">
            <v>36705.708333333328</v>
          </cell>
          <cell r="F34">
            <v>36740.708333333328</v>
          </cell>
          <cell r="G34" t="str">
            <v>4</v>
          </cell>
        </row>
        <row r="35">
          <cell r="A35">
            <v>4.5</v>
          </cell>
          <cell r="B35" t="str">
            <v>4</v>
          </cell>
          <cell r="C35" t="str">
            <v>Prototype parts supplier(s) agreed</v>
          </cell>
          <cell r="D35">
            <v>36591.708333333328</v>
          </cell>
          <cell r="E35">
            <v>36591.708333333328</v>
          </cell>
          <cell r="F35">
            <v>36591.708333333328</v>
          </cell>
          <cell r="G35" t="str">
            <v>5</v>
          </cell>
        </row>
        <row r="36">
          <cell r="A36">
            <v>4.5999999999999996</v>
          </cell>
          <cell r="B36" t="str">
            <v>4</v>
          </cell>
          <cell r="C36" t="str">
            <v>Rapid Prototype crankshafts received at Dunton (machined from solid)</v>
          </cell>
          <cell r="D36">
            <v>36854.708333333328</v>
          </cell>
          <cell r="E36">
            <v>36782.708333333328</v>
          </cell>
          <cell r="F36">
            <v>36826.708333333328</v>
          </cell>
          <cell r="G36" t="str">
            <v>6</v>
          </cell>
        </row>
        <row r="37">
          <cell r="A37">
            <v>5</v>
          </cell>
          <cell r="B37" t="str">
            <v>5</v>
          </cell>
          <cell r="C37" t="str">
            <v>CONNECTING ROD</v>
          </cell>
          <cell r="D37">
            <v>36444.333333333328</v>
          </cell>
          <cell r="E37">
            <v>36444.333333333328</v>
          </cell>
          <cell r="F37">
            <v>36444.333333333328</v>
          </cell>
          <cell r="G37" t="str">
            <v>0</v>
          </cell>
        </row>
        <row r="38">
          <cell r="A38">
            <v>5.0999999999999996</v>
          </cell>
          <cell r="B38" t="str">
            <v>5</v>
          </cell>
          <cell r="C38" t="str">
            <v>1st iteration of analysis complete</v>
          </cell>
          <cell r="D38">
            <v>36444.333333333328</v>
          </cell>
          <cell r="E38">
            <v>36444.333333333328</v>
          </cell>
          <cell r="F38">
            <v>36444.333333333328</v>
          </cell>
          <cell r="G38" t="str">
            <v>1</v>
          </cell>
        </row>
        <row r="39">
          <cell r="A39">
            <v>5.7</v>
          </cell>
          <cell r="B39" t="str">
            <v>5</v>
          </cell>
          <cell r="C39" t="str">
            <v>Concept layout agreed</v>
          </cell>
          <cell r="D39">
            <v>36539.708333333328</v>
          </cell>
          <cell r="E39">
            <v>36539.708333333328</v>
          </cell>
          <cell r="F39">
            <v>36539.708333333328</v>
          </cell>
          <cell r="G39" t="str">
            <v>7</v>
          </cell>
        </row>
        <row r="40">
          <cell r="A40">
            <v>5.3</v>
          </cell>
          <cell r="B40" t="str">
            <v>5</v>
          </cell>
          <cell r="C40" t="str">
            <v>Connecting rod CAD model available</v>
          </cell>
          <cell r="D40">
            <v>36686.708333333328</v>
          </cell>
          <cell r="E40">
            <v>36629.708333333328</v>
          </cell>
          <cell r="F40">
            <v>36670.708333333328</v>
          </cell>
          <cell r="G40" t="str">
            <v>3</v>
          </cell>
        </row>
        <row r="41">
          <cell r="A41">
            <v>5.4</v>
          </cell>
          <cell r="B41" t="str">
            <v>5</v>
          </cell>
          <cell r="C41" t="str">
            <v>Connecting rod detailed drawings complete</v>
          </cell>
          <cell r="D41">
            <v>36703.708333333328</v>
          </cell>
          <cell r="E41">
            <v>36644.708333333328</v>
          </cell>
          <cell r="F41">
            <v>36685.708333333328</v>
          </cell>
          <cell r="G41" t="str">
            <v>4</v>
          </cell>
        </row>
        <row r="42">
          <cell r="A42">
            <v>5.5</v>
          </cell>
          <cell r="B42" t="str">
            <v>5</v>
          </cell>
          <cell r="C42" t="str">
            <v>Prototype parts supplier agreed</v>
          </cell>
          <cell r="D42">
            <v>36591.708333333328</v>
          </cell>
          <cell r="E42">
            <v>36591.708333333328</v>
          </cell>
          <cell r="F42">
            <v>36591.708333333328</v>
          </cell>
          <cell r="G42" t="str">
            <v>5</v>
          </cell>
        </row>
        <row r="43">
          <cell r="A43">
            <v>5.6</v>
          </cell>
          <cell r="B43" t="str">
            <v>5</v>
          </cell>
          <cell r="C43" t="str">
            <v>Connecting Rod MRD</v>
          </cell>
          <cell r="D43">
            <v>36826.708333333328</v>
          </cell>
          <cell r="E43">
            <v>36819.708333333328</v>
          </cell>
          <cell r="F43">
            <v>36825.708333333328</v>
          </cell>
          <cell r="G43" t="str">
            <v>6</v>
          </cell>
        </row>
        <row r="44">
          <cell r="A44">
            <v>6</v>
          </cell>
          <cell r="B44" t="str">
            <v>6</v>
          </cell>
          <cell r="C44" t="str">
            <v>PISTON (Including pin and rings)</v>
          </cell>
          <cell r="D44">
            <v>36444.333333333328</v>
          </cell>
          <cell r="E44">
            <v>36444.333333333328</v>
          </cell>
          <cell r="F44">
            <v>36444.333333333328</v>
          </cell>
          <cell r="G44" t="str">
            <v>0</v>
          </cell>
        </row>
        <row r="45">
          <cell r="A45">
            <v>6.3</v>
          </cell>
          <cell r="B45" t="str">
            <v>6</v>
          </cell>
          <cell r="C45" t="str">
            <v>Piston CAD model available</v>
          </cell>
          <cell r="D45">
            <v>36602.708333333328</v>
          </cell>
          <cell r="E45">
            <v>36546.708333333328</v>
          </cell>
          <cell r="F45">
            <v>36602.708333333328</v>
          </cell>
          <cell r="G45" t="str">
            <v>3</v>
          </cell>
        </row>
        <row r="46">
          <cell r="A46">
            <v>6.1</v>
          </cell>
          <cell r="B46" t="str">
            <v>6</v>
          </cell>
          <cell r="C46" t="str">
            <v>1st iteration of analysis complete</v>
          </cell>
          <cell r="D46">
            <v>36781.708333333328</v>
          </cell>
          <cell r="E46">
            <v>36640.708333333328</v>
          </cell>
          <cell r="F46">
            <v>36798.708333333328</v>
          </cell>
          <cell r="G46" t="str">
            <v>1</v>
          </cell>
        </row>
        <row r="47">
          <cell r="A47">
            <v>6.4</v>
          </cell>
          <cell r="B47" t="str">
            <v>6</v>
          </cell>
          <cell r="C47" t="str">
            <v>Detailed piston design complete</v>
          </cell>
          <cell r="D47">
            <v>36656.708333333328</v>
          </cell>
          <cell r="E47">
            <v>36647.333333333328</v>
          </cell>
          <cell r="F47">
            <v>36656.708333333328</v>
          </cell>
          <cell r="G47" t="str">
            <v>4</v>
          </cell>
        </row>
        <row r="48">
          <cell r="A48">
            <v>6.5</v>
          </cell>
          <cell r="B48" t="str">
            <v>6</v>
          </cell>
          <cell r="C48" t="str">
            <v>Prototype piston supplier agreed</v>
          </cell>
          <cell r="D48">
            <v>36591.708333333328</v>
          </cell>
          <cell r="E48">
            <v>36591.333333333328</v>
          </cell>
          <cell r="F48">
            <v>36591.708333333328</v>
          </cell>
          <cell r="G48" t="str">
            <v>5</v>
          </cell>
        </row>
        <row r="49">
          <cell r="A49">
            <v>6.6</v>
          </cell>
          <cell r="B49" t="str">
            <v>6</v>
          </cell>
          <cell r="C49" t="str">
            <v>Pistons received at Dunton</v>
          </cell>
          <cell r="D49">
            <v>36837.708333333328</v>
          </cell>
          <cell r="E49">
            <v>36788.708333333328</v>
          </cell>
          <cell r="F49">
            <v>36854.708333333328</v>
          </cell>
          <cell r="G49" t="str">
            <v>6</v>
          </cell>
        </row>
        <row r="50">
          <cell r="A50">
            <v>7</v>
          </cell>
          <cell r="B50" t="str">
            <v>7</v>
          </cell>
          <cell r="C50" t="str">
            <v>DAMPER</v>
          </cell>
          <cell r="D50">
            <v>36444.333333333328</v>
          </cell>
          <cell r="E50">
            <v>36444.333333333328</v>
          </cell>
          <cell r="F50">
            <v>36444.333333333328</v>
          </cell>
          <cell r="G50" t="str">
            <v>0</v>
          </cell>
        </row>
        <row r="51">
          <cell r="A51">
            <v>7.3</v>
          </cell>
          <cell r="B51" t="str">
            <v>7</v>
          </cell>
          <cell r="C51" t="str">
            <v>Damper CAD model available</v>
          </cell>
          <cell r="D51">
            <v>36591.708333333328</v>
          </cell>
          <cell r="E51">
            <v>36553.708333333328</v>
          </cell>
          <cell r="F51">
            <v>36591.708333333328</v>
          </cell>
          <cell r="G51" t="str">
            <v>3</v>
          </cell>
        </row>
        <row r="52">
          <cell r="A52">
            <v>7.1</v>
          </cell>
          <cell r="B52" t="str">
            <v>7</v>
          </cell>
          <cell r="C52" t="str">
            <v>Crankshaft damper forced response NVH analysis</v>
          </cell>
          <cell r="D52">
            <v>36592.333333333328</v>
          </cell>
          <cell r="E52">
            <v>36556.333333333328</v>
          </cell>
          <cell r="F52">
            <v>36592.333333333328</v>
          </cell>
          <cell r="G52" t="str">
            <v>1</v>
          </cell>
        </row>
        <row r="53">
          <cell r="A53">
            <v>7.4</v>
          </cell>
          <cell r="B53" t="str">
            <v>7</v>
          </cell>
          <cell r="C53" t="str">
            <v>Detail damper design</v>
          </cell>
          <cell r="D53">
            <v>36706.333333333328</v>
          </cell>
          <cell r="E53">
            <v>36703.333333333328</v>
          </cell>
          <cell r="F53">
            <v>36690.333333333328</v>
          </cell>
          <cell r="G53" t="str">
            <v>4</v>
          </cell>
        </row>
        <row r="54">
          <cell r="A54">
            <v>7.5</v>
          </cell>
          <cell r="B54" t="str">
            <v>7</v>
          </cell>
          <cell r="C54" t="str">
            <v>Damper prototype supplier agreed</v>
          </cell>
          <cell r="D54">
            <v>36591.708333333328</v>
          </cell>
          <cell r="E54">
            <v>36591.333333333328</v>
          </cell>
          <cell r="F54">
            <v>36591.708333333328</v>
          </cell>
          <cell r="G54" t="str">
            <v>5</v>
          </cell>
        </row>
        <row r="55">
          <cell r="A55">
            <v>7.6</v>
          </cell>
          <cell r="B55" t="str">
            <v>7</v>
          </cell>
          <cell r="C55" t="str">
            <v>Dampers received at Dunton</v>
          </cell>
          <cell r="D55">
            <v>36831.708333333328</v>
          </cell>
          <cell r="E55">
            <v>36826.708333333328</v>
          </cell>
          <cell r="F55">
            <v>36817.708333333328</v>
          </cell>
          <cell r="G55" t="str">
            <v>6</v>
          </cell>
        </row>
        <row r="56">
          <cell r="A56">
            <v>8</v>
          </cell>
          <cell r="B56" t="str">
            <v>8</v>
          </cell>
          <cell r="C56" t="str">
            <v>FLYWHEEL (inc Ring Gear)</v>
          </cell>
          <cell r="D56">
            <v>36444.333333333328</v>
          </cell>
          <cell r="E56">
            <v>36444.333333333328</v>
          </cell>
          <cell r="F56">
            <v>36444.333333333328</v>
          </cell>
          <cell r="G56" t="str">
            <v>0</v>
          </cell>
        </row>
        <row r="57">
          <cell r="A57">
            <v>8.1</v>
          </cell>
          <cell r="B57" t="str">
            <v>8</v>
          </cell>
          <cell r="C57" t="str">
            <v>1st iteration of analysis complete</v>
          </cell>
          <cell r="D57">
            <v>36734.708333333328</v>
          </cell>
          <cell r="E57">
            <v>36686.708333333328</v>
          </cell>
          <cell r="F57">
            <v>36726.708333333328</v>
          </cell>
          <cell r="G57" t="str">
            <v>1</v>
          </cell>
        </row>
        <row r="58">
          <cell r="A58">
            <v>8.4</v>
          </cell>
          <cell r="B58" t="str">
            <v>8</v>
          </cell>
          <cell r="C58" t="str">
            <v>Design Dual mass flywheel (LUK manual transmission)</v>
          </cell>
          <cell r="D58">
            <v>36696.333333333328</v>
          </cell>
          <cell r="E58">
            <v>36661.333333333328</v>
          </cell>
          <cell r="F58">
            <v>36699.333333333328</v>
          </cell>
          <cell r="G58" t="str">
            <v>4</v>
          </cell>
        </row>
        <row r="59">
          <cell r="A59">
            <v>8.4</v>
          </cell>
          <cell r="B59" t="str">
            <v>8</v>
          </cell>
          <cell r="C59" t="str">
            <v>Design solid mass flywheels (two inertias for AP test))</v>
          </cell>
          <cell r="D59">
            <v>36707.333333333328</v>
          </cell>
          <cell r="E59">
            <v>36689.333333333328</v>
          </cell>
          <cell r="F59">
            <v>36727.333333333328</v>
          </cell>
          <cell r="G59" t="str">
            <v>4</v>
          </cell>
        </row>
        <row r="60">
          <cell r="A60">
            <v>8.4</v>
          </cell>
          <cell r="B60" t="str">
            <v>8</v>
          </cell>
          <cell r="C60" t="str">
            <v>Design flex-plate flywheel for JATCO trans</v>
          </cell>
          <cell r="D60">
            <v>36735.333333333328</v>
          </cell>
          <cell r="E60">
            <v>36717.333333333328</v>
          </cell>
          <cell r="F60">
            <v>36755.333333333328</v>
          </cell>
          <cell r="G60" t="str">
            <v>4</v>
          </cell>
        </row>
        <row r="61">
          <cell r="A61">
            <v>8.5</v>
          </cell>
          <cell r="B61" t="str">
            <v>8</v>
          </cell>
          <cell r="C61" t="str">
            <v>Select supplier for each flywheel design</v>
          </cell>
          <cell r="D61">
            <v>36515.333333333328</v>
          </cell>
          <cell r="E61">
            <v>36515.333333333328</v>
          </cell>
          <cell r="F61">
            <v>36515.333333333328</v>
          </cell>
          <cell r="G61" t="str">
            <v>5</v>
          </cell>
        </row>
        <row r="62">
          <cell r="A62">
            <v>8.6</v>
          </cell>
          <cell r="B62" t="str">
            <v>8</v>
          </cell>
          <cell r="C62" t="str">
            <v>Solid mass flywheels MRD</v>
          </cell>
          <cell r="D62">
            <v>36818.708333333328</v>
          </cell>
          <cell r="E62">
            <v>36798.708333333328</v>
          </cell>
          <cell r="F62">
            <v>36838.708333333328</v>
          </cell>
          <cell r="G62" t="str">
            <v>6</v>
          </cell>
        </row>
        <row r="63">
          <cell r="A63">
            <v>9</v>
          </cell>
          <cell r="B63" t="str">
            <v>9</v>
          </cell>
          <cell r="C63" t="str">
            <v>STARTER MOTOR</v>
          </cell>
          <cell r="D63">
            <v>36444.333333333328</v>
          </cell>
          <cell r="E63">
            <v>36444.333333333328</v>
          </cell>
          <cell r="F63">
            <v>36444.333333333328</v>
          </cell>
          <cell r="G63" t="str">
            <v>0</v>
          </cell>
        </row>
        <row r="64">
          <cell r="A64">
            <v>9.3000000000000007</v>
          </cell>
          <cell r="B64" t="str">
            <v>9</v>
          </cell>
          <cell r="C64" t="str">
            <v>Starter motor CAD model available</v>
          </cell>
          <cell r="D64">
            <v>36444.333333333328</v>
          </cell>
          <cell r="E64">
            <v>36444.333333333328</v>
          </cell>
          <cell r="F64">
            <v>36444.333333333328</v>
          </cell>
          <cell r="G64" t="str">
            <v>3</v>
          </cell>
        </row>
        <row r="65">
          <cell r="A65">
            <v>9.4</v>
          </cell>
          <cell r="B65" t="str">
            <v>9</v>
          </cell>
          <cell r="C65" t="str">
            <v>Starter motor detailed drawings complete</v>
          </cell>
          <cell r="D65">
            <v>36728.708333333328</v>
          </cell>
          <cell r="E65">
            <v>36623.708333333328</v>
          </cell>
          <cell r="F65">
            <v>36649.708333333328</v>
          </cell>
          <cell r="G65" t="str">
            <v>4</v>
          </cell>
        </row>
        <row r="66">
          <cell r="A66">
            <v>9.5</v>
          </cell>
          <cell r="B66" t="str">
            <v>9</v>
          </cell>
          <cell r="C66" t="str">
            <v>Agree starter motor prototype parts supplier</v>
          </cell>
          <cell r="D66">
            <v>36515.333333333328</v>
          </cell>
          <cell r="E66">
            <v>36515.333333333328</v>
          </cell>
          <cell r="F66">
            <v>36515.333333333328</v>
          </cell>
          <cell r="G66" t="str">
            <v>5</v>
          </cell>
        </row>
        <row r="67">
          <cell r="A67">
            <v>9.6</v>
          </cell>
          <cell r="B67" t="str">
            <v>9</v>
          </cell>
          <cell r="C67" t="str">
            <v>Starter Motor MRD</v>
          </cell>
          <cell r="D67">
            <v>36826.708333333328</v>
          </cell>
          <cell r="E67">
            <v>36721.708333333328</v>
          </cell>
          <cell r="F67">
            <v>36747.708333333328</v>
          </cell>
          <cell r="G67" t="str">
            <v>6</v>
          </cell>
        </row>
        <row r="68">
          <cell r="A68">
            <v>10</v>
          </cell>
          <cell r="B68" t="str">
            <v>10</v>
          </cell>
          <cell r="C68" t="str">
            <v>COOLING SYSTEM</v>
          </cell>
          <cell r="D68">
            <v>36444.333333333328</v>
          </cell>
          <cell r="E68">
            <v>36444.333333333328</v>
          </cell>
          <cell r="F68">
            <v>36444.333333333328</v>
          </cell>
          <cell r="G68" t="str">
            <v>0</v>
          </cell>
        </row>
        <row r="69">
          <cell r="A69">
            <v>10.1</v>
          </cell>
          <cell r="B69" t="str">
            <v>10</v>
          </cell>
          <cell r="C69" t="str">
            <v>Basic 1D cooling flow analysis with Volvo cylinder head data (FEV)</v>
          </cell>
          <cell r="D69">
            <v>36584.333333333328</v>
          </cell>
          <cell r="E69">
            <v>36586.333333333328</v>
          </cell>
          <cell r="F69">
            <v>36584.333333333328</v>
          </cell>
          <cell r="G69" t="str">
            <v>1</v>
          </cell>
        </row>
        <row r="70">
          <cell r="A70">
            <v>10.7</v>
          </cell>
          <cell r="B70" t="str">
            <v>10</v>
          </cell>
          <cell r="C70" t="str">
            <v>Concept layout agreed</v>
          </cell>
          <cell r="D70">
            <v>36574.708333333328</v>
          </cell>
          <cell r="E70">
            <v>36574.708333333328</v>
          </cell>
          <cell r="F70">
            <v>36574.708333333328</v>
          </cell>
          <cell r="G70" t="str">
            <v>7</v>
          </cell>
        </row>
        <row r="71">
          <cell r="A71">
            <v>10.3</v>
          </cell>
          <cell r="B71" t="str">
            <v>10</v>
          </cell>
          <cell r="C71" t="str">
            <v>Coolant sys. component basic design (CAD models inc channel in V)</v>
          </cell>
          <cell r="D71">
            <v>36594.333333333328</v>
          </cell>
          <cell r="E71">
            <v>36591.333333333328</v>
          </cell>
          <cell r="F71">
            <v>36594.333333333328</v>
          </cell>
          <cell r="G71" t="str">
            <v>3</v>
          </cell>
        </row>
        <row r="72">
          <cell r="A72">
            <v>10.4</v>
          </cell>
          <cell r="B72" t="str">
            <v>10</v>
          </cell>
          <cell r="C72" t="str">
            <v>Coolant system detailed drawings complete</v>
          </cell>
          <cell r="D72">
            <v>36767.708333333328</v>
          </cell>
          <cell r="E72">
            <v>36690.708333333328</v>
          </cell>
          <cell r="F72">
            <v>36759.708333333328</v>
          </cell>
          <cell r="G72" t="str">
            <v>4</v>
          </cell>
        </row>
        <row r="73">
          <cell r="A73">
            <v>10.5</v>
          </cell>
          <cell r="B73" t="str">
            <v>10</v>
          </cell>
          <cell r="C73" t="str">
            <v>Prototype parts supplier(s) agreed</v>
          </cell>
          <cell r="D73">
            <v>36634.708333333328</v>
          </cell>
          <cell r="E73">
            <v>36588.708333333328</v>
          </cell>
          <cell r="F73">
            <v>36634.708333333328</v>
          </cell>
          <cell r="G73" t="str">
            <v>5</v>
          </cell>
        </row>
        <row r="74">
          <cell r="A74">
            <v>10.6</v>
          </cell>
          <cell r="B74" t="str">
            <v>10</v>
          </cell>
          <cell r="C74" t="str">
            <v>Cooling system MRD</v>
          </cell>
          <cell r="D74">
            <v>36826.708333333328</v>
          </cell>
          <cell r="E74">
            <v>36816.708333333328</v>
          </cell>
          <cell r="F74">
            <v>36819.708333333328</v>
          </cell>
          <cell r="G74" t="str">
            <v>6</v>
          </cell>
        </row>
        <row r="75">
          <cell r="A75">
            <v>11</v>
          </cell>
          <cell r="B75" t="str">
            <v>11</v>
          </cell>
          <cell r="C75" t="str">
            <v>LUBE OIL SYSTEM (Including main oil gallery)</v>
          </cell>
          <cell r="D75">
            <v>36444.333333333328</v>
          </cell>
          <cell r="E75">
            <v>36444.333333333328</v>
          </cell>
          <cell r="F75">
            <v>36444.333333333328</v>
          </cell>
          <cell r="G75" t="str">
            <v>0</v>
          </cell>
        </row>
        <row r="76">
          <cell r="A76">
            <v>11.1</v>
          </cell>
          <cell r="B76" t="str">
            <v>11</v>
          </cell>
          <cell r="C76" t="str">
            <v>Basic 1D lube circuit analysis (FEV)</v>
          </cell>
          <cell r="D76">
            <v>36600.333333333328</v>
          </cell>
          <cell r="E76">
            <v>36592.333333333328</v>
          </cell>
          <cell r="F76">
            <v>36600.333333333328</v>
          </cell>
          <cell r="G76" t="str">
            <v>1</v>
          </cell>
        </row>
        <row r="77">
          <cell r="A77">
            <v>11.2</v>
          </cell>
          <cell r="B77" t="str">
            <v>11</v>
          </cell>
          <cell r="C77" t="str">
            <v>1D lubrication circuit analysis  2nd iteration</v>
          </cell>
          <cell r="D77">
            <v>36614.333333333328</v>
          </cell>
          <cell r="E77">
            <v>36606.333333333328</v>
          </cell>
          <cell r="F77">
            <v>36614.333333333328</v>
          </cell>
          <cell r="G77" t="str">
            <v>2</v>
          </cell>
        </row>
        <row r="78">
          <cell r="A78">
            <v>11.7</v>
          </cell>
          <cell r="B78" t="str">
            <v>11</v>
          </cell>
          <cell r="C78" t="str">
            <v>Concept layout agreed</v>
          </cell>
          <cell r="D78">
            <v>36599.708333333328</v>
          </cell>
          <cell r="E78">
            <v>36591.708333333328</v>
          </cell>
          <cell r="F78">
            <v>36599.708333333328</v>
          </cell>
          <cell r="G78" t="str">
            <v>7</v>
          </cell>
        </row>
        <row r="79">
          <cell r="A79">
            <v>11.3</v>
          </cell>
          <cell r="B79" t="str">
            <v>11</v>
          </cell>
          <cell r="C79" t="str">
            <v>Lubrication sys component basic design (CAD Models)</v>
          </cell>
          <cell r="D79">
            <v>36600.333333333328</v>
          </cell>
          <cell r="E79">
            <v>36592.333333333328</v>
          </cell>
          <cell r="F79">
            <v>36600.333333333328</v>
          </cell>
          <cell r="G79" t="str">
            <v>3</v>
          </cell>
        </row>
        <row r="80">
          <cell r="A80">
            <v>11.4</v>
          </cell>
          <cell r="B80" t="str">
            <v>11</v>
          </cell>
          <cell r="C80" t="str">
            <v>Lube system detailed drawings complete</v>
          </cell>
          <cell r="D80">
            <v>36731.708333333328</v>
          </cell>
          <cell r="E80">
            <v>36697.708333333328</v>
          </cell>
          <cell r="F80">
            <v>36700.708333333328</v>
          </cell>
          <cell r="G80" t="str">
            <v>4</v>
          </cell>
        </row>
        <row r="81">
          <cell r="A81">
            <v>11.5</v>
          </cell>
          <cell r="B81" t="str">
            <v>11</v>
          </cell>
          <cell r="C81" t="str">
            <v>Lube system prototype parts suppliers all agreed</v>
          </cell>
          <cell r="D81">
            <v>36669.708333333328</v>
          </cell>
          <cell r="E81">
            <v>36591.708333333328</v>
          </cell>
          <cell r="F81">
            <v>36658.708333333328</v>
          </cell>
          <cell r="G81" t="str">
            <v>5</v>
          </cell>
        </row>
        <row r="82">
          <cell r="A82">
            <v>11.6</v>
          </cell>
          <cell r="B82" t="str">
            <v>11</v>
          </cell>
          <cell r="C82" t="str">
            <v>Oil system components MRD</v>
          </cell>
          <cell r="D82">
            <v>36815.708333333328</v>
          </cell>
          <cell r="E82">
            <v>36781.708333333328</v>
          </cell>
          <cell r="F82">
            <v>36784.708333333328</v>
          </cell>
          <cell r="G82" t="str">
            <v>6</v>
          </cell>
        </row>
        <row r="83">
          <cell r="A83">
            <v>12</v>
          </cell>
          <cell r="B83" t="str">
            <v>12</v>
          </cell>
          <cell r="C83" t="str">
            <v>VENT SYSTEM</v>
          </cell>
          <cell r="D83">
            <v>36444.333333333328</v>
          </cell>
          <cell r="E83">
            <v>36444.333333333328</v>
          </cell>
          <cell r="F83">
            <v>36444.333333333328</v>
          </cell>
          <cell r="G83" t="str">
            <v>0</v>
          </cell>
        </row>
        <row r="84">
          <cell r="A84">
            <v>12.7</v>
          </cell>
          <cell r="B84" t="str">
            <v>12</v>
          </cell>
          <cell r="C84" t="str">
            <v>(3D) Vent/lube system basic design (inc. valve routing to turbos)</v>
          </cell>
          <cell r="D84">
            <v>36650.333333333328</v>
          </cell>
          <cell r="E84">
            <v>36565.333333333328</v>
          </cell>
          <cell r="F84">
            <v>36650.333333333328</v>
          </cell>
          <cell r="G84" t="str">
            <v>7</v>
          </cell>
        </row>
        <row r="85">
          <cell r="A85">
            <v>12.3</v>
          </cell>
          <cell r="B85" t="str">
            <v>12</v>
          </cell>
          <cell r="C85" t="str">
            <v>Vent system component detail design</v>
          </cell>
          <cell r="D85">
            <v>36705.333333333328</v>
          </cell>
          <cell r="E85">
            <v>36643.333333333328</v>
          </cell>
          <cell r="F85">
            <v>36677.333333333328</v>
          </cell>
          <cell r="G85" t="str">
            <v>3</v>
          </cell>
        </row>
        <row r="86">
          <cell r="A86">
            <v>12.4</v>
          </cell>
          <cell r="B86" t="str">
            <v>12</v>
          </cell>
          <cell r="C86" t="str">
            <v>Vent system detail drawing and check</v>
          </cell>
          <cell r="D86">
            <v>36733.333333333328</v>
          </cell>
          <cell r="E86">
            <v>36671.333333333328</v>
          </cell>
          <cell r="F86">
            <v>36705.333333333328</v>
          </cell>
          <cell r="G86" t="str">
            <v>4</v>
          </cell>
        </row>
        <row r="87">
          <cell r="A87">
            <v>12.5</v>
          </cell>
          <cell r="B87" t="str">
            <v>12</v>
          </cell>
          <cell r="C87" t="str">
            <v>Prototype parts supplier agreed</v>
          </cell>
          <cell r="D87">
            <v>36616.708333333328</v>
          </cell>
          <cell r="E87">
            <v>36444.333333333328</v>
          </cell>
          <cell r="F87">
            <v>36616.708333333328</v>
          </cell>
          <cell r="G87" t="str">
            <v>5</v>
          </cell>
        </row>
        <row r="88">
          <cell r="A88">
            <v>12.6</v>
          </cell>
          <cell r="B88" t="str">
            <v>12</v>
          </cell>
          <cell r="C88" t="str">
            <v>Vent system MRD</v>
          </cell>
          <cell r="D88">
            <v>36816.708333333328</v>
          </cell>
          <cell r="E88">
            <v>36444.333333333328</v>
          </cell>
          <cell r="F88">
            <v>36788.708333333328</v>
          </cell>
          <cell r="G88" t="str">
            <v>6</v>
          </cell>
        </row>
        <row r="89">
          <cell r="A89">
            <v>24</v>
          </cell>
          <cell r="B89" t="str">
            <v>24</v>
          </cell>
          <cell r="C89" t="str">
            <v>PRIMARY DRIVE</v>
          </cell>
          <cell r="D89">
            <v>36444.333333333328</v>
          </cell>
          <cell r="E89">
            <v>36444.333333333328</v>
          </cell>
          <cell r="F89">
            <v>36444.333333333328</v>
          </cell>
          <cell r="G89" t="str">
            <v>0</v>
          </cell>
        </row>
        <row r="90">
          <cell r="A90">
            <v>24.7</v>
          </cell>
          <cell r="B90" t="str">
            <v>24</v>
          </cell>
          <cell r="C90" t="str">
            <v>Concept layout agreed</v>
          </cell>
          <cell r="D90">
            <v>36592.708333333328</v>
          </cell>
          <cell r="E90">
            <v>36588.708333333328</v>
          </cell>
          <cell r="F90">
            <v>36592.708333333328</v>
          </cell>
          <cell r="G90" t="str">
            <v>7</v>
          </cell>
        </row>
        <row r="91">
          <cell r="A91">
            <v>24.3</v>
          </cell>
          <cell r="B91" t="str">
            <v>24</v>
          </cell>
          <cell r="C91" t="str">
            <v>Supply primary drive models to Ford</v>
          </cell>
          <cell r="D91">
            <v>36669.333333333328</v>
          </cell>
          <cell r="E91">
            <v>36627.333333333328</v>
          </cell>
          <cell r="F91">
            <v>36669.333333333328</v>
          </cell>
          <cell r="G91" t="str">
            <v>3</v>
          </cell>
        </row>
        <row r="92">
          <cell r="A92">
            <v>24.2</v>
          </cell>
          <cell r="B92" t="str">
            <v>24</v>
          </cell>
          <cell r="C92" t="str">
            <v>Primary drive FEA analysis</v>
          </cell>
          <cell r="D92">
            <v>36672.333333333328</v>
          </cell>
          <cell r="E92">
            <v>36630.333333333328</v>
          </cell>
          <cell r="F92">
            <v>36672.333333333328</v>
          </cell>
          <cell r="G92" t="str">
            <v>2</v>
          </cell>
        </row>
        <row r="93">
          <cell r="A93">
            <v>24.4</v>
          </cell>
          <cell r="B93" t="str">
            <v>24</v>
          </cell>
          <cell r="C93" t="str">
            <v>Primary drive detail drawing and check</v>
          </cell>
          <cell r="D93">
            <v>36746.333333333328</v>
          </cell>
          <cell r="E93">
            <v>36704.333333333328</v>
          </cell>
          <cell r="F93">
            <v>36746.333333333328</v>
          </cell>
          <cell r="G93" t="str">
            <v>4</v>
          </cell>
        </row>
        <row r="94">
          <cell r="A94">
            <v>24.5</v>
          </cell>
          <cell r="B94" t="str">
            <v>24</v>
          </cell>
          <cell r="C94" t="str">
            <v>Prototype parts supplier agreed</v>
          </cell>
          <cell r="D94">
            <v>36628.708333333328</v>
          </cell>
          <cell r="E94">
            <v>36591.708333333328</v>
          </cell>
          <cell r="F94">
            <v>36628.708333333328</v>
          </cell>
          <cell r="G94" t="str">
            <v>5</v>
          </cell>
        </row>
        <row r="95">
          <cell r="A95">
            <v>24.6</v>
          </cell>
          <cell r="B95" t="str">
            <v>24</v>
          </cell>
          <cell r="C95" t="str">
            <v>Primary Drive parts received at Dunton (MRD)</v>
          </cell>
          <cell r="D95">
            <v>36815.708333333328</v>
          </cell>
          <cell r="E95">
            <v>36773.708333333328</v>
          </cell>
          <cell r="F95">
            <v>36815.708333333328</v>
          </cell>
          <cell r="G95" t="str">
            <v>6</v>
          </cell>
        </row>
        <row r="96">
          <cell r="A96">
            <v>13</v>
          </cell>
          <cell r="B96" t="str">
            <v>13</v>
          </cell>
          <cell r="C96" t="str">
            <v>CAMSHAFT &amp; VALVE TRAIN</v>
          </cell>
          <cell r="D96">
            <v>36444.333333333328</v>
          </cell>
          <cell r="E96">
            <v>36444.333333333328</v>
          </cell>
          <cell r="F96">
            <v>36444.333333333328</v>
          </cell>
          <cell r="G96" t="str">
            <v>0</v>
          </cell>
        </row>
        <row r="97">
          <cell r="A97">
            <v>13.1</v>
          </cell>
          <cell r="B97" t="str">
            <v>13</v>
          </cell>
          <cell r="C97" t="str">
            <v>Kinematic analysis of Volvo valve train (Ford)</v>
          </cell>
          <cell r="D97">
            <v>36556.333333333328</v>
          </cell>
          <cell r="E97">
            <v>36556.333333333328</v>
          </cell>
          <cell r="F97">
            <v>36556.333333333328</v>
          </cell>
          <cell r="G97" t="str">
            <v>1</v>
          </cell>
        </row>
        <row r="98">
          <cell r="A98">
            <v>13.2</v>
          </cell>
          <cell r="B98" t="str">
            <v>13</v>
          </cell>
          <cell r="C98" t="str">
            <v>Valvetrain dynamics analysis (supplier)</v>
          </cell>
          <cell r="D98">
            <v>36657.333333333328</v>
          </cell>
          <cell r="E98">
            <v>36607.333333333328</v>
          </cell>
          <cell r="F98">
            <v>36657.333333333328</v>
          </cell>
          <cell r="G98" t="str">
            <v>2</v>
          </cell>
        </row>
        <row r="99">
          <cell r="A99">
            <v>13.3</v>
          </cell>
          <cell r="B99" t="str">
            <v>13</v>
          </cell>
          <cell r="C99" t="str">
            <v>Basic valve train system design</v>
          </cell>
          <cell r="D99">
            <v>36598.333333333328</v>
          </cell>
          <cell r="E99">
            <v>36570.333333333328</v>
          </cell>
          <cell r="F99">
            <v>36598.333333333328</v>
          </cell>
          <cell r="G99" t="str">
            <v>3</v>
          </cell>
        </row>
        <row r="100">
          <cell r="A100">
            <v>13.4</v>
          </cell>
          <cell r="B100" t="str">
            <v>13</v>
          </cell>
          <cell r="C100" t="str">
            <v>Primary drive/camshaft detailed drawings complete</v>
          </cell>
          <cell r="D100">
            <v>36717.708333333328</v>
          </cell>
          <cell r="E100">
            <v>36689.708333333328</v>
          </cell>
          <cell r="F100">
            <v>36726.708333333328</v>
          </cell>
          <cell r="G100" t="str">
            <v>4</v>
          </cell>
        </row>
        <row r="101">
          <cell r="A101">
            <v>13.5</v>
          </cell>
          <cell r="B101" t="str">
            <v>13</v>
          </cell>
          <cell r="C101" t="str">
            <v>Prototype camshaft parts supplier agreed</v>
          </cell>
          <cell r="D101">
            <v>36656.708333333328</v>
          </cell>
          <cell r="E101">
            <v>36605.708333333328</v>
          </cell>
          <cell r="F101">
            <v>36656.708333333328</v>
          </cell>
          <cell r="G101" t="str">
            <v>5</v>
          </cell>
        </row>
        <row r="102">
          <cell r="A102">
            <v>13.6</v>
          </cell>
          <cell r="B102" t="str">
            <v>13</v>
          </cell>
          <cell r="C102" t="str">
            <v>Valve train components received at Dunton (MRD)</v>
          </cell>
          <cell r="D102">
            <v>36829.708333333328</v>
          </cell>
          <cell r="E102">
            <v>36801.708333333328</v>
          </cell>
          <cell r="F102">
            <v>36838.708333333328</v>
          </cell>
          <cell r="G102" t="str">
            <v>6</v>
          </cell>
        </row>
        <row r="103">
          <cell r="A103">
            <v>14</v>
          </cell>
          <cell r="B103" t="str">
            <v>14</v>
          </cell>
          <cell r="C103" t="str">
            <v>FEAD</v>
          </cell>
          <cell r="D103">
            <v>36444.333333333328</v>
          </cell>
          <cell r="E103">
            <v>36444.333333333328</v>
          </cell>
          <cell r="F103">
            <v>36444.333333333328</v>
          </cell>
          <cell r="G103" t="str">
            <v>0</v>
          </cell>
        </row>
        <row r="104">
          <cell r="A104">
            <v>14.1</v>
          </cell>
          <cell r="B104" t="str">
            <v>14</v>
          </cell>
          <cell r="C104" t="str">
            <v>1st iteration of FEAD analysis complete</v>
          </cell>
          <cell r="D104">
            <v>36712.708333333328</v>
          </cell>
          <cell r="E104">
            <v>36559.708333333328</v>
          </cell>
          <cell r="F104">
            <v>36712.708333333328</v>
          </cell>
          <cell r="G104" t="str">
            <v>1</v>
          </cell>
        </row>
        <row r="105">
          <cell r="A105">
            <v>14.2</v>
          </cell>
          <cell r="B105" t="str">
            <v>14</v>
          </cell>
          <cell r="C105" t="str">
            <v>2nd iteration of FEAD analysis complete</v>
          </cell>
          <cell r="D105">
            <v>36612.708333333328</v>
          </cell>
          <cell r="E105">
            <v>36605.708333333328</v>
          </cell>
          <cell r="F105">
            <v>36612.708333333328</v>
          </cell>
          <cell r="G105" t="str">
            <v>2</v>
          </cell>
        </row>
        <row r="106">
          <cell r="A106">
            <v>14.7</v>
          </cell>
          <cell r="B106" t="str">
            <v>14</v>
          </cell>
          <cell r="C106" t="str">
            <v>Concept layout agreed</v>
          </cell>
          <cell r="D106">
            <v>36574.708333333328</v>
          </cell>
          <cell r="E106">
            <v>36566.708333333328</v>
          </cell>
          <cell r="F106">
            <v>36574.708333333328</v>
          </cell>
          <cell r="G106" t="str">
            <v>7</v>
          </cell>
        </row>
        <row r="107">
          <cell r="A107">
            <v>14.3</v>
          </cell>
          <cell r="B107" t="str">
            <v>14</v>
          </cell>
          <cell r="C107" t="str">
            <v>FEAD CAD model available</v>
          </cell>
          <cell r="D107">
            <v>36691.708333333328</v>
          </cell>
          <cell r="E107">
            <v>36608.708333333328</v>
          </cell>
          <cell r="F107">
            <v>36691.708333333328</v>
          </cell>
          <cell r="G107" t="str">
            <v>3</v>
          </cell>
        </row>
        <row r="108">
          <cell r="A108">
            <v>14.4</v>
          </cell>
          <cell r="B108" t="str">
            <v>14</v>
          </cell>
          <cell r="C108" t="str">
            <v>FEAD Detailed drawings complete</v>
          </cell>
          <cell r="D108">
            <v>36733.708333333328</v>
          </cell>
          <cell r="E108">
            <v>36444.333333333328</v>
          </cell>
          <cell r="F108">
            <v>36733.708333333328</v>
          </cell>
          <cell r="G108" t="str">
            <v>4</v>
          </cell>
        </row>
        <row r="109">
          <cell r="A109">
            <v>14.5</v>
          </cell>
          <cell r="B109" t="str">
            <v>14</v>
          </cell>
          <cell r="C109" t="str">
            <v>FEAD prototype parts supplier agreed</v>
          </cell>
          <cell r="D109">
            <v>36598.708333333328</v>
          </cell>
          <cell r="E109">
            <v>36591.708333333328</v>
          </cell>
          <cell r="F109">
            <v>36598.708333333328</v>
          </cell>
          <cell r="G109" t="str">
            <v>5</v>
          </cell>
        </row>
        <row r="110">
          <cell r="A110">
            <v>14.6</v>
          </cell>
          <cell r="B110" t="str">
            <v>14</v>
          </cell>
          <cell r="C110" t="str">
            <v>FEAD MRD</v>
          </cell>
          <cell r="D110">
            <v>36817.708333333328</v>
          </cell>
          <cell r="E110">
            <v>36734.708333333328</v>
          </cell>
          <cell r="F110">
            <v>36817.708333333328</v>
          </cell>
          <cell r="G110" t="str">
            <v>6</v>
          </cell>
        </row>
        <row r="111">
          <cell r="A111">
            <v>16</v>
          </cell>
          <cell r="B111" t="str">
            <v>16</v>
          </cell>
          <cell r="C111" t="str">
            <v xml:space="preserve">132 INTERCOOLER/CHARGE AIR SYSTEM </v>
          </cell>
          <cell r="D111">
            <v>36444.333333333328</v>
          </cell>
          <cell r="E111">
            <v>36444.333333333328</v>
          </cell>
          <cell r="F111">
            <v>36444.333333333328</v>
          </cell>
          <cell r="G111" t="str">
            <v>0</v>
          </cell>
        </row>
        <row r="112">
          <cell r="A112">
            <v>16.600000000000001</v>
          </cell>
          <cell r="B112" t="str">
            <v>16</v>
          </cell>
          <cell r="C112" t="str">
            <v>Intercooler parts MRD</v>
          </cell>
          <cell r="D112">
            <v>36818.708333333328</v>
          </cell>
          <cell r="E112">
            <v>36801.708333333328</v>
          </cell>
          <cell r="F112">
            <v>36818.708333333328</v>
          </cell>
          <cell r="G112" t="str">
            <v>6</v>
          </cell>
        </row>
        <row r="113">
          <cell r="A113">
            <v>26</v>
          </cell>
          <cell r="B113" t="str">
            <v>26</v>
          </cell>
          <cell r="C113" t="str">
            <v xml:space="preserve">INTAKE/EGR SYSTEM </v>
          </cell>
          <cell r="D113">
            <v>36444.333333333328</v>
          </cell>
          <cell r="E113">
            <v>36444.333333333328</v>
          </cell>
          <cell r="F113">
            <v>36444.333333333328</v>
          </cell>
          <cell r="G113" t="str">
            <v>0</v>
          </cell>
        </row>
        <row r="114">
          <cell r="A114">
            <v>26.7</v>
          </cell>
          <cell r="B114" t="str">
            <v>26</v>
          </cell>
          <cell r="C114" t="str">
            <v>Concept layout agreed</v>
          </cell>
          <cell r="D114">
            <v>36613.708333333328</v>
          </cell>
          <cell r="E114">
            <v>36595.708333333328</v>
          </cell>
          <cell r="F114">
            <v>36613.708333333328</v>
          </cell>
          <cell r="G114" t="str">
            <v>7</v>
          </cell>
        </row>
        <row r="115">
          <cell r="A115">
            <v>26.5</v>
          </cell>
          <cell r="B115" t="str">
            <v>26</v>
          </cell>
          <cell r="C115" t="str">
            <v>Prototype parts supplier agreed</v>
          </cell>
          <cell r="D115">
            <v>36636.708333333328</v>
          </cell>
          <cell r="E115">
            <v>36619.708333333328</v>
          </cell>
          <cell r="F115">
            <v>36628.708333333328</v>
          </cell>
          <cell r="G115" t="str">
            <v>5</v>
          </cell>
        </row>
        <row r="116">
          <cell r="A116">
            <v>26.4</v>
          </cell>
          <cell r="B116" t="str">
            <v>26</v>
          </cell>
          <cell r="C116" t="str">
            <v>Intake system detailed design complete</v>
          </cell>
          <cell r="D116">
            <v>36725.708333333328</v>
          </cell>
          <cell r="E116">
            <v>36717.333333333328</v>
          </cell>
          <cell r="F116">
            <v>36717.708333333328</v>
          </cell>
          <cell r="G116" t="str">
            <v>4</v>
          </cell>
        </row>
        <row r="117">
          <cell r="A117">
            <v>26.6</v>
          </cell>
          <cell r="B117" t="str">
            <v>26</v>
          </cell>
          <cell r="C117" t="str">
            <v>Intake/EGR component MRD</v>
          </cell>
          <cell r="D117">
            <v>36837.708333333328</v>
          </cell>
          <cell r="E117">
            <v>36829.708333333328</v>
          </cell>
          <cell r="F117">
            <v>36829.708333333328</v>
          </cell>
          <cell r="G117" t="str">
            <v>6</v>
          </cell>
        </row>
        <row r="118">
          <cell r="A118">
            <v>15</v>
          </cell>
          <cell r="B118" t="str">
            <v>15</v>
          </cell>
          <cell r="C118" t="str">
            <v xml:space="preserve">EXHAUST/TURBO SYSTEM </v>
          </cell>
          <cell r="D118">
            <v>36444.333333333328</v>
          </cell>
          <cell r="E118">
            <v>36444.333333333328</v>
          </cell>
          <cell r="F118">
            <v>36444.333333333328</v>
          </cell>
          <cell r="G118" t="str">
            <v>0</v>
          </cell>
        </row>
        <row r="119">
          <cell r="A119">
            <v>15.7</v>
          </cell>
          <cell r="B119" t="str">
            <v>15</v>
          </cell>
          <cell r="C119" t="str">
            <v>(3D) Exhaust component  package inc aftertreatment</v>
          </cell>
          <cell r="D119">
            <v>36529.333333333328</v>
          </cell>
          <cell r="E119">
            <v>36529.333333333328</v>
          </cell>
          <cell r="F119">
            <v>36529.333333333328</v>
          </cell>
          <cell r="G119" t="str">
            <v>7</v>
          </cell>
        </row>
        <row r="120">
          <cell r="A120">
            <v>15.3</v>
          </cell>
          <cell r="B120" t="str">
            <v>15</v>
          </cell>
          <cell r="C120" t="str">
            <v>Exhaust/turbo system design complete</v>
          </cell>
          <cell r="D120">
            <v>36724.708333333328</v>
          </cell>
          <cell r="E120" t="str">
            <v>NA</v>
          </cell>
          <cell r="F120" t="str">
            <v>NA</v>
          </cell>
          <cell r="G120" t="str">
            <v>3</v>
          </cell>
        </row>
        <row r="121">
          <cell r="A121">
            <v>15.5</v>
          </cell>
          <cell r="B121" t="str">
            <v>15</v>
          </cell>
          <cell r="C121" t="str">
            <v>Prototype parts supplier agreed</v>
          </cell>
          <cell r="D121">
            <v>36661.708333333328</v>
          </cell>
          <cell r="E121">
            <v>36599.708333333328</v>
          </cell>
          <cell r="F121">
            <v>36609.708333333328</v>
          </cell>
          <cell r="G121" t="str">
            <v>5</v>
          </cell>
        </row>
        <row r="122">
          <cell r="A122">
            <v>15.6</v>
          </cell>
          <cell r="B122" t="str">
            <v>15</v>
          </cell>
          <cell r="C122" t="str">
            <v>Exhaust/Turbo system MRD</v>
          </cell>
          <cell r="D122">
            <v>36818.708333333328</v>
          </cell>
          <cell r="E122">
            <v>36829.708333333328</v>
          </cell>
          <cell r="F122">
            <v>36844.708333333328</v>
          </cell>
          <cell r="G122" t="str">
            <v>6</v>
          </cell>
        </row>
        <row r="123">
          <cell r="A123">
            <v>25</v>
          </cell>
          <cell r="B123" t="str">
            <v>25</v>
          </cell>
          <cell r="C123" t="str">
            <v>AFTER TREATMENT</v>
          </cell>
          <cell r="D123">
            <v>36444.333333333328</v>
          </cell>
          <cell r="E123">
            <v>36444.333333333328</v>
          </cell>
          <cell r="F123">
            <v>36444.333333333328</v>
          </cell>
          <cell r="G123" t="str">
            <v>0</v>
          </cell>
        </row>
        <row r="124">
          <cell r="A124">
            <v>17</v>
          </cell>
          <cell r="B124" t="str">
            <v>17</v>
          </cell>
          <cell r="C124" t="str">
            <v>FUEL SYSTEM</v>
          </cell>
          <cell r="D124">
            <v>36444.333333333328</v>
          </cell>
          <cell r="E124">
            <v>36444.333333333328</v>
          </cell>
          <cell r="F124">
            <v>36444.333333333328</v>
          </cell>
          <cell r="G124" t="str">
            <v>0</v>
          </cell>
        </row>
        <row r="125">
          <cell r="A125">
            <v>17.7</v>
          </cell>
          <cell r="B125" t="str">
            <v>17</v>
          </cell>
          <cell r="C125" t="str">
            <v>Concept layout agreed</v>
          </cell>
          <cell r="D125">
            <v>36607.333333333328</v>
          </cell>
          <cell r="E125">
            <v>36581.708333333328</v>
          </cell>
          <cell r="F125">
            <v>36626.333333333328</v>
          </cell>
          <cell r="G125" t="str">
            <v>7</v>
          </cell>
        </row>
        <row r="126">
          <cell r="A126">
            <v>17.5</v>
          </cell>
          <cell r="B126" t="str">
            <v>17</v>
          </cell>
          <cell r="C126" t="str">
            <v>Prototype parts supplier agreed at risk (Single cylinder orders placed)</v>
          </cell>
          <cell r="D126">
            <v>36607.333333333328</v>
          </cell>
          <cell r="E126">
            <v>36605.708333333328</v>
          </cell>
          <cell r="F126">
            <v>36626.333333333328</v>
          </cell>
          <cell r="G126" t="str">
            <v>5</v>
          </cell>
        </row>
        <row r="127">
          <cell r="A127">
            <v>17.600000000000001</v>
          </cell>
          <cell r="B127" t="str">
            <v>17</v>
          </cell>
          <cell r="C127" t="str">
            <v>Fuel system MRD (Parts received at Dunton)</v>
          </cell>
          <cell r="D127">
            <v>36839.708333333328</v>
          </cell>
          <cell r="E127">
            <v>36759.708333333328</v>
          </cell>
          <cell r="F127">
            <v>36782.708333333328</v>
          </cell>
          <cell r="G127" t="str">
            <v>6</v>
          </cell>
        </row>
        <row r="128">
          <cell r="A128">
            <v>19</v>
          </cell>
          <cell r="B128" t="str">
            <v>19</v>
          </cell>
          <cell r="C128" t="str">
            <v>SEALING</v>
          </cell>
          <cell r="D128">
            <v>36444.333333333328</v>
          </cell>
          <cell r="E128">
            <v>36444.333333333328</v>
          </cell>
          <cell r="F128">
            <v>36444.333333333328</v>
          </cell>
          <cell r="G128" t="str">
            <v>0</v>
          </cell>
        </row>
        <row r="129">
          <cell r="A129">
            <v>19</v>
          </cell>
          <cell r="B129" t="str">
            <v>19</v>
          </cell>
          <cell r="C129" t="str">
            <v>COVERS</v>
          </cell>
          <cell r="D129">
            <v>36444.333333333328</v>
          </cell>
          <cell r="E129">
            <v>36444.333333333328</v>
          </cell>
          <cell r="F129">
            <v>36444.333333333328</v>
          </cell>
          <cell r="G129" t="str">
            <v>0</v>
          </cell>
        </row>
        <row r="130">
          <cell r="A130">
            <v>20</v>
          </cell>
          <cell r="B130" t="str">
            <v>20</v>
          </cell>
          <cell r="C130" t="str">
            <v>ELECTRONICS &amp; CONTROL</v>
          </cell>
          <cell r="D130">
            <v>36654.333333333328</v>
          </cell>
          <cell r="E130">
            <v>36444.333333333328</v>
          </cell>
          <cell r="F130">
            <v>36444.333333333328</v>
          </cell>
          <cell r="G130" t="str">
            <v>0</v>
          </cell>
        </row>
        <row r="131">
          <cell r="A131">
            <v>21</v>
          </cell>
          <cell r="B131" t="str">
            <v>21</v>
          </cell>
          <cell r="C131" t="str">
            <v>PERFORMANCE AND EMISSIONS</v>
          </cell>
          <cell r="D131">
            <v>36444.333333333328</v>
          </cell>
          <cell r="E131">
            <v>36444.333333333328</v>
          </cell>
          <cell r="F131">
            <v>36444.333333333328</v>
          </cell>
          <cell r="G131" t="str">
            <v>0</v>
          </cell>
        </row>
        <row r="132">
          <cell r="A132">
            <v>22</v>
          </cell>
          <cell r="B132" t="str">
            <v>22</v>
          </cell>
          <cell r="C132" t="str">
            <v>PACKAGING</v>
          </cell>
          <cell r="D132">
            <v>36444.333333333328</v>
          </cell>
          <cell r="E132">
            <v>36444.333333333328</v>
          </cell>
          <cell r="F132">
            <v>36444.333333333328</v>
          </cell>
          <cell r="G132" t="str">
            <v>0</v>
          </cell>
        </row>
        <row r="133">
          <cell r="A133">
            <v>23</v>
          </cell>
          <cell r="B133" t="str">
            <v>23</v>
          </cell>
          <cell r="C133" t="str">
            <v>NVH</v>
          </cell>
          <cell r="D133">
            <v>36444.333333333328</v>
          </cell>
          <cell r="E133">
            <v>36444.333333333328</v>
          </cell>
          <cell r="F133">
            <v>36444.333333333328</v>
          </cell>
          <cell r="G133" t="str">
            <v>0</v>
          </cell>
        </row>
        <row r="134">
          <cell r="A134">
            <v>21</v>
          </cell>
          <cell r="B134" t="str">
            <v>21</v>
          </cell>
          <cell r="C134" t="str">
            <v>PERFORMANCE AND EMISSIONS</v>
          </cell>
          <cell r="D134">
            <v>36444.333333333328</v>
          </cell>
          <cell r="E134">
            <v>36444.333333333328</v>
          </cell>
          <cell r="F134">
            <v>36444.333333333328</v>
          </cell>
          <cell r="G134" t="str">
            <v>0</v>
          </cell>
        </row>
        <row r="135">
          <cell r="A135">
            <v>22</v>
          </cell>
          <cell r="B135" t="str">
            <v>22</v>
          </cell>
          <cell r="C135" t="str">
            <v>PACKAGING</v>
          </cell>
          <cell r="D135">
            <v>36444.333333333328</v>
          </cell>
          <cell r="E135">
            <v>36444.333333333328</v>
          </cell>
          <cell r="F135">
            <v>36444.333333333328</v>
          </cell>
          <cell r="G135" t="str">
            <v>0</v>
          </cell>
        </row>
        <row r="136">
          <cell r="A136">
            <v>23</v>
          </cell>
          <cell r="B136" t="str">
            <v>23</v>
          </cell>
          <cell r="C136" t="str">
            <v>NVH</v>
          </cell>
          <cell r="D136">
            <v>36444.333333333328</v>
          </cell>
          <cell r="E136">
            <v>36444.333333333328</v>
          </cell>
          <cell r="F136">
            <v>36444.333333333328</v>
          </cell>
          <cell r="G136" t="str">
            <v>0</v>
          </cell>
        </row>
        <row r="137">
          <cell r="A137">
            <v>23</v>
          </cell>
          <cell r="B137" t="str">
            <v>23</v>
          </cell>
          <cell r="C137" t="str">
            <v>NVH</v>
          </cell>
          <cell r="D137">
            <v>36444.333333333328</v>
          </cell>
          <cell r="E137">
            <v>36444.333333333328</v>
          </cell>
          <cell r="F137">
            <v>36444.333333333328</v>
          </cell>
          <cell r="G137" t="str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 Data"/>
      <sheetName val="Nov 2004 Appraisal Results"/>
      <sheetName val="Fr &amp; Rr Ride Results Averaged"/>
      <sheetName val="Level 2 Results"/>
      <sheetName val="Level 2 Averages Chart"/>
      <sheetName val="Team Member Correlation - Astra"/>
      <sheetName val="Team Member Correlation - City"/>
      <sheetName val="All Results"/>
      <sheetName val="Comments"/>
      <sheetName val="Data from MSP"/>
      <sheetName val="Vehicle_Data"/>
      <sheetName val="Nov_2004_Appraisal_Results"/>
      <sheetName val="Fr_&amp;_Rr_Ride_Results_Averaged"/>
      <sheetName val="Level_2_Results"/>
      <sheetName val="Level_2_Averages_Chart"/>
      <sheetName val="Team_Member_Correlation_-_Astra"/>
      <sheetName val="Team_Member_Correlation_-_City"/>
      <sheetName val="All_Results"/>
      <sheetName val="Vehicle_Data2"/>
      <sheetName val="Nov_2004_Appraisal_Results2"/>
      <sheetName val="Fr_&amp;_Rr_Ride_Results_Averaged2"/>
      <sheetName val="Level_2_Results2"/>
      <sheetName val="Level_2_Averages_Chart2"/>
      <sheetName val="Team_Member_Correlation_-_Astr2"/>
      <sheetName val="Team_Member_Correlation_-_City2"/>
      <sheetName val="All_Results2"/>
      <sheetName val="Vehicle_Data1"/>
      <sheetName val="Nov_2004_Appraisal_Results1"/>
      <sheetName val="Fr_&amp;_Rr_Ride_Results_Averaged1"/>
      <sheetName val="Level_2_Results1"/>
      <sheetName val="Level_2_Averages_Chart1"/>
      <sheetName val="Team_Member_Correlation_-_Astr1"/>
      <sheetName val="Team_Member_Correlation_-_City1"/>
      <sheetName val="All_Results1"/>
      <sheetName val="Vehicle_Data3"/>
      <sheetName val="Nov_2004_Appraisal_Results3"/>
      <sheetName val="Fr_&amp;_Rr_Ride_Results_Averaged3"/>
      <sheetName val="Level_2_Results3"/>
      <sheetName val="Level_2_Averages_Chart3"/>
      <sheetName val="Team_Member_Correlation_-_Astr3"/>
      <sheetName val="Team_Member_Correlation_-_City3"/>
      <sheetName val="All_Results3"/>
      <sheetName val="Sheet1"/>
      <sheetName val="Sheet2"/>
      <sheetName val="Versuchskosten pro Bauteil"/>
      <sheetName val="Versuchskosten pro Phase"/>
      <sheetName val="基础数据"/>
      <sheetName val="Vehicle_Data5"/>
      <sheetName val="Nov_2004_Appraisal_Results5"/>
      <sheetName val="Fr_&amp;_Rr_Ride_Results_Averaged5"/>
      <sheetName val="Level_2_Results5"/>
      <sheetName val="Level_2_Averages_Chart5"/>
      <sheetName val="Team_Member_Correlation_-_Astr5"/>
      <sheetName val="Team_Member_Correlation_-_City5"/>
      <sheetName val="All_Results5"/>
      <sheetName val="Data_from_MSP1"/>
      <sheetName val="Versuchskosten_pro_Bauteil1"/>
      <sheetName val="Versuchskosten_pro_Phase1"/>
      <sheetName val="Vehicle_Data4"/>
      <sheetName val="Nov_2004_Appraisal_Results4"/>
      <sheetName val="Fr_&amp;_Rr_Ride_Results_Averaged4"/>
      <sheetName val="Level_2_Results4"/>
      <sheetName val="Level_2_Averages_Chart4"/>
      <sheetName val="Team_Member_Correlation_-_Astr4"/>
      <sheetName val="Team_Member_Correlation_-_City4"/>
      <sheetName val="All_Results4"/>
      <sheetName val="Data_from_MSP"/>
      <sheetName val="Versuchskosten_pro_Bauteil"/>
      <sheetName val="Versuchskosten_pro_Phase"/>
      <sheetName val="Vehicle_Data6"/>
      <sheetName val="Nov_2004_Appraisal_Results6"/>
      <sheetName val="Fr_&amp;_Rr_Ride_Results_Averaged6"/>
      <sheetName val="Level_2_Results6"/>
      <sheetName val="Level_2_Averages_Chart6"/>
      <sheetName val="Team_Member_Correlation_-_Astr6"/>
      <sheetName val="Team_Member_Correlation_-_City6"/>
      <sheetName val="All_Results6"/>
      <sheetName val="Data_from_MSP2"/>
      <sheetName val="Versuchskosten_pro_Bauteil2"/>
      <sheetName val="Versuchskosten_pro_Phase2"/>
      <sheetName val="Vehicle_Data9"/>
      <sheetName val="Nov_2004_Appraisal_Results9"/>
      <sheetName val="Fr_&amp;_Rr_Ride_Results_Averaged9"/>
      <sheetName val="Level_2_Results9"/>
      <sheetName val="Level_2_Averages_Chart9"/>
      <sheetName val="Team_Member_Correlation_-_Astr9"/>
      <sheetName val="Team_Member_Correlation_-_City9"/>
      <sheetName val="All_Results9"/>
      <sheetName val="Data_from_MSP5"/>
      <sheetName val="Versuchskosten_pro_Bauteil5"/>
      <sheetName val="Versuchskosten_pro_Phase5"/>
      <sheetName val="Vehicle_Data7"/>
      <sheetName val="Nov_2004_Appraisal_Results7"/>
      <sheetName val="Fr_&amp;_Rr_Ride_Results_Averaged7"/>
      <sheetName val="Level_2_Results7"/>
      <sheetName val="Level_2_Averages_Chart7"/>
      <sheetName val="Team_Member_Correlation_-_Astr7"/>
      <sheetName val="Team_Member_Correlation_-_City7"/>
      <sheetName val="All_Results7"/>
      <sheetName val="Data_from_MSP3"/>
      <sheetName val="Versuchskosten_pro_Bauteil3"/>
      <sheetName val="Versuchskosten_pro_Phase3"/>
      <sheetName val="Vehicle_Data8"/>
      <sheetName val="Nov_2004_Appraisal_Results8"/>
      <sheetName val="Fr_&amp;_Rr_Ride_Results_Averaged8"/>
      <sheetName val="Level_2_Results8"/>
      <sheetName val="Level_2_Averages_Chart8"/>
      <sheetName val="Team_Member_Correlation_-_Astr8"/>
      <sheetName val="Team_Member_Correlation_-_City8"/>
      <sheetName val="All_Results8"/>
      <sheetName val="Data_from_MSP4"/>
      <sheetName val="Versuchskosten_pro_Bauteil4"/>
      <sheetName val="Versuchskosten_pro_Phase4"/>
      <sheetName val="Vehicle_Data10"/>
      <sheetName val="Nov_2004_Appraisal_Results10"/>
      <sheetName val="Fr_&amp;_Rr_Ride_Results_Averaged10"/>
      <sheetName val="Level_2_Results10"/>
      <sheetName val="Level_2_Averages_Chart10"/>
      <sheetName val="Team_Member_Correlation_-_Ast10"/>
      <sheetName val="Team_Member_Correlation_-_Cit10"/>
      <sheetName val="All_Results10"/>
      <sheetName val="Data_from_MSP6"/>
      <sheetName val="Versuchskosten_pro_Bauteil6"/>
      <sheetName val="Versuchskosten_pro_Phase6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0" zoomScale="160" zoomScaleNormal="160" workbookViewId="0">
      <selection activeCell="A2" sqref="A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13"/>
  <sheetViews>
    <sheetView showGridLines="0" zoomScale="40" zoomScaleNormal="40" workbookViewId="0">
      <selection activeCell="G7" sqref="G7"/>
    </sheetView>
  </sheetViews>
  <sheetFormatPr defaultColWidth="9.1796875" defaultRowHeight="14.5" x14ac:dyDescent="0.35"/>
  <cols>
    <col min="1" max="1" width="2.54296875" style="3" customWidth="1"/>
    <col min="2" max="2" width="8.54296875" style="2" customWidth="1"/>
    <col min="3" max="3" width="70" style="3" customWidth="1"/>
    <col min="4" max="4" width="50.54296875" style="2" customWidth="1"/>
    <col min="5" max="5" width="9.54296875" style="2" hidden="1" customWidth="1"/>
    <col min="6" max="6" width="46.81640625" style="2" hidden="1" customWidth="1"/>
    <col min="7" max="7" width="52" style="2" customWidth="1"/>
    <col min="8" max="8" width="40.1796875" style="3" customWidth="1"/>
    <col min="9" max="9" width="43.54296875" style="3" customWidth="1"/>
    <col min="10" max="10" width="9.1796875" style="3" customWidth="1"/>
    <col min="11" max="12" width="10" style="3" customWidth="1"/>
    <col min="13" max="13" width="8.1796875" style="3" customWidth="1"/>
    <col min="14" max="14" width="12.453125" style="3" customWidth="1"/>
    <col min="15" max="15" width="14.54296875" style="3" customWidth="1"/>
    <col min="16" max="19" width="9.1796875" style="3"/>
    <col min="20" max="20" width="14.54296875" style="3" bestFit="1" customWidth="1"/>
    <col min="21" max="21" width="11.81640625" style="3" customWidth="1"/>
    <col min="22" max="16384" width="9.1796875" style="3"/>
  </cols>
  <sheetData>
    <row r="1" spans="2:21" ht="19.5" x14ac:dyDescent="0.35">
      <c r="B1" s="23"/>
      <c r="C1" s="36"/>
      <c r="D1" s="23"/>
      <c r="E1" s="37"/>
      <c r="F1" s="23"/>
      <c r="G1" s="113" t="s">
        <v>1</v>
      </c>
      <c r="H1" s="113"/>
      <c r="I1" s="113"/>
      <c r="K1" s="104" t="s">
        <v>2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</row>
    <row r="2" spans="2:21" ht="32.5" customHeight="1" x14ac:dyDescent="0.35">
      <c r="B2" s="108" t="s">
        <v>235</v>
      </c>
      <c r="C2" s="109"/>
      <c r="D2" s="109"/>
      <c r="E2" s="109"/>
      <c r="F2" s="109"/>
      <c r="G2" s="109"/>
      <c r="H2" s="109"/>
      <c r="I2" s="109"/>
      <c r="J2" s="30"/>
      <c r="K2" s="110" t="s">
        <v>3</v>
      </c>
      <c r="L2" s="110"/>
      <c r="M2" s="110"/>
      <c r="N2" s="110"/>
      <c r="O2" s="110"/>
      <c r="Q2" s="110" t="s">
        <v>4</v>
      </c>
      <c r="R2" s="110"/>
      <c r="S2" s="110"/>
      <c r="T2" s="110"/>
      <c r="U2" s="110"/>
    </row>
    <row r="3" spans="2:21" ht="29.25" customHeight="1" x14ac:dyDescent="0.35">
      <c r="B3" s="111" t="s">
        <v>5</v>
      </c>
      <c r="C3" s="112" t="s">
        <v>6</v>
      </c>
      <c r="D3" s="105" t="s">
        <v>232</v>
      </c>
      <c r="E3" s="105"/>
      <c r="F3" s="105"/>
      <c r="G3" s="105" t="s">
        <v>7</v>
      </c>
      <c r="H3" s="105" t="s">
        <v>136</v>
      </c>
      <c r="I3" s="105" t="s">
        <v>8</v>
      </c>
      <c r="J3" s="29"/>
      <c r="K3" s="106" t="s">
        <v>9</v>
      </c>
      <c r="L3" s="106"/>
      <c r="M3" s="106"/>
      <c r="N3" s="107" t="s">
        <v>10</v>
      </c>
      <c r="O3" s="106" t="s">
        <v>11</v>
      </c>
      <c r="Q3" s="106" t="s">
        <v>9</v>
      </c>
      <c r="R3" s="106"/>
      <c r="S3" s="106"/>
      <c r="T3" s="107" t="s">
        <v>10</v>
      </c>
      <c r="U3" s="106" t="s">
        <v>11</v>
      </c>
    </row>
    <row r="4" spans="2:21" ht="40.5" customHeight="1" x14ac:dyDescent="0.35">
      <c r="B4" s="111"/>
      <c r="C4" s="112"/>
      <c r="D4" s="40" t="s">
        <v>12</v>
      </c>
      <c r="E4" s="41" t="s">
        <v>13</v>
      </c>
      <c r="F4" s="40" t="s">
        <v>14</v>
      </c>
      <c r="G4" s="105"/>
      <c r="H4" s="105"/>
      <c r="I4" s="105"/>
      <c r="J4" s="29"/>
      <c r="K4" s="28" t="s">
        <v>15</v>
      </c>
      <c r="L4" s="27" t="s">
        <v>16</v>
      </c>
      <c r="M4" s="26" t="s">
        <v>17</v>
      </c>
      <c r="N4" s="107"/>
      <c r="O4" s="106"/>
      <c r="Q4" s="28" t="s">
        <v>15</v>
      </c>
      <c r="R4" s="27" t="s">
        <v>16</v>
      </c>
      <c r="S4" s="26" t="s">
        <v>17</v>
      </c>
      <c r="T4" s="107"/>
      <c r="U4" s="106"/>
    </row>
    <row r="5" spans="2:21" ht="68.25" customHeight="1" x14ac:dyDescent="0.35">
      <c r="B5" s="42" t="s">
        <v>18</v>
      </c>
      <c r="C5" s="43" t="s">
        <v>233</v>
      </c>
      <c r="D5" s="44" t="s">
        <v>19</v>
      </c>
      <c r="E5" s="48" t="s">
        <v>20</v>
      </c>
      <c r="F5" s="48" t="s">
        <v>20</v>
      </c>
      <c r="G5" s="46">
        <f t="shared" ref="G5:G11" si="0">SUM(K5+L5+M5+N5)</f>
        <v>69</v>
      </c>
      <c r="H5" s="58"/>
      <c r="I5" s="47"/>
      <c r="K5" s="59">
        <f>'P &amp; D'!M2</f>
        <v>0</v>
      </c>
      <c r="L5" s="59">
        <f>'P &amp; D'!N2</f>
        <v>0</v>
      </c>
      <c r="M5" s="59">
        <f>'P &amp; D'!O2</f>
        <v>0</v>
      </c>
      <c r="N5" s="59">
        <f>'P &amp; D'!P2</f>
        <v>69</v>
      </c>
      <c r="O5" s="59">
        <f>'P &amp; D'!Q2</f>
        <v>0</v>
      </c>
      <c r="Q5" s="59">
        <f>'P &amp; D'!U2</f>
        <v>0</v>
      </c>
      <c r="R5" s="59">
        <f>'P &amp; D'!V2</f>
        <v>0</v>
      </c>
      <c r="S5" s="59">
        <f>'P &amp; D'!W2</f>
        <v>69</v>
      </c>
      <c r="T5" s="59">
        <f>'P &amp; D'!X2</f>
        <v>0</v>
      </c>
      <c r="U5" s="59">
        <f>'P &amp; D'!Y2</f>
        <v>0</v>
      </c>
    </row>
    <row r="6" spans="2:21" ht="68.25" customHeight="1" x14ac:dyDescent="0.35">
      <c r="B6" s="42" t="s">
        <v>21</v>
      </c>
      <c r="C6" s="43" t="s">
        <v>26</v>
      </c>
      <c r="D6" s="44" t="s">
        <v>19</v>
      </c>
      <c r="E6" s="48" t="s">
        <v>20</v>
      </c>
      <c r="F6" s="48" t="s">
        <v>20</v>
      </c>
      <c r="G6" s="46">
        <f t="shared" si="0"/>
        <v>15</v>
      </c>
      <c r="H6" s="58"/>
      <c r="I6" s="47"/>
      <c r="K6" s="59">
        <f>'D&amp;R'!M2</f>
        <v>0</v>
      </c>
      <c r="L6" s="59">
        <f>'D&amp;R'!N2</f>
        <v>0</v>
      </c>
      <c r="M6" s="59">
        <f>'D&amp;R'!O2</f>
        <v>0</v>
      </c>
      <c r="N6" s="59">
        <f>'D&amp;R'!P2</f>
        <v>15</v>
      </c>
      <c r="O6" s="59">
        <f>'D&amp;R'!Q1</f>
        <v>0</v>
      </c>
      <c r="Q6" s="59">
        <f>'D&amp;R'!U2</f>
        <v>0</v>
      </c>
      <c r="R6" s="59">
        <f>'D&amp;R'!V2</f>
        <v>0</v>
      </c>
      <c r="S6" s="59">
        <f>'D&amp;R'!W2</f>
        <v>15</v>
      </c>
      <c r="T6" s="59">
        <f>'D&amp;R'!X2</f>
        <v>0</v>
      </c>
      <c r="U6" s="59">
        <f>'D&amp;R'!Y2</f>
        <v>0</v>
      </c>
    </row>
    <row r="7" spans="2:21" ht="77.150000000000006" customHeight="1" x14ac:dyDescent="0.35">
      <c r="B7" s="42" t="s">
        <v>22</v>
      </c>
      <c r="C7" s="43" t="s">
        <v>23</v>
      </c>
      <c r="D7" s="44" t="s">
        <v>24</v>
      </c>
      <c r="E7" s="45" t="s">
        <v>24</v>
      </c>
      <c r="F7" s="45" t="s">
        <v>24</v>
      </c>
      <c r="G7" s="46">
        <f t="shared" si="0"/>
        <v>7</v>
      </c>
      <c r="H7" s="58"/>
      <c r="I7" s="47"/>
      <c r="K7" s="59">
        <f>'Thermal Aerodynamics System Eng'!M2</f>
        <v>0</v>
      </c>
      <c r="L7" s="59">
        <f>'Thermal Aerodynamics System Eng'!N2</f>
        <v>0</v>
      </c>
      <c r="M7" s="59">
        <f>'Thermal Aerodynamics System Eng'!O2</f>
        <v>0</v>
      </c>
      <c r="N7" s="59">
        <f>'Thermal Aerodynamics System Eng'!P2</f>
        <v>7</v>
      </c>
      <c r="O7" s="59">
        <f>'Thermal Aerodynamics System Eng'!Q2</f>
        <v>0</v>
      </c>
      <c r="Q7" s="59">
        <f>'Thermal Aerodynamics System Eng'!U2</f>
        <v>0</v>
      </c>
      <c r="R7" s="59">
        <f>'Thermal Aerodynamics System Eng'!V2</f>
        <v>0</v>
      </c>
      <c r="S7" s="59">
        <f>'Thermal Aerodynamics System Eng'!W2</f>
        <v>7</v>
      </c>
      <c r="T7" s="59">
        <f>'Thermal Aerodynamics System Eng'!X2</f>
        <v>0</v>
      </c>
      <c r="U7" s="59">
        <f>'Thermal Aerodynamics System Eng'!Y2</f>
        <v>0</v>
      </c>
    </row>
    <row r="8" spans="2:21" ht="85.5" customHeight="1" x14ac:dyDescent="0.35">
      <c r="B8" s="42" t="s">
        <v>25</v>
      </c>
      <c r="C8" s="43" t="s">
        <v>164</v>
      </c>
      <c r="D8" s="44" t="s">
        <v>24</v>
      </c>
      <c r="E8" s="45" t="s">
        <v>19</v>
      </c>
      <c r="F8" s="45" t="s">
        <v>19</v>
      </c>
      <c r="G8" s="46">
        <f t="shared" si="0"/>
        <v>7</v>
      </c>
      <c r="H8" s="58"/>
      <c r="I8" s="47"/>
      <c r="K8" s="59">
        <f>'Utility &amp; Usage'!M2</f>
        <v>0</v>
      </c>
      <c r="L8" s="59">
        <f>'Utility &amp; Usage'!N2</f>
        <v>0</v>
      </c>
      <c r="M8" s="59">
        <f>'Utility &amp; Usage'!O2</f>
        <v>0</v>
      </c>
      <c r="N8" s="59">
        <f>'Utility &amp; Usage'!P2</f>
        <v>7</v>
      </c>
      <c r="O8" s="59">
        <f>'Utility &amp; Usage'!Q2</f>
        <v>0</v>
      </c>
      <c r="Q8" s="59">
        <f>'Utility &amp; Usage'!U2</f>
        <v>0</v>
      </c>
      <c r="R8" s="59">
        <f>'Utility &amp; Usage'!V2</f>
        <v>0</v>
      </c>
      <c r="S8" s="59">
        <f>'Utility &amp; Usage'!W2</f>
        <v>7</v>
      </c>
      <c r="T8" s="59">
        <f>'Utility &amp; Usage'!X2</f>
        <v>0</v>
      </c>
      <c r="U8" s="59">
        <f>'Utility &amp; Usage'!Y2</f>
        <v>0</v>
      </c>
    </row>
    <row r="9" spans="2:21" ht="77.25" customHeight="1" x14ac:dyDescent="0.35">
      <c r="B9" s="42" t="s">
        <v>27</v>
      </c>
      <c r="C9" s="43" t="s">
        <v>32</v>
      </c>
      <c r="D9" s="44" t="s">
        <v>19</v>
      </c>
      <c r="E9" s="45" t="s">
        <v>29</v>
      </c>
      <c r="F9" s="45" t="s">
        <v>29</v>
      </c>
      <c r="G9" s="46">
        <f t="shared" si="0"/>
        <v>10</v>
      </c>
      <c r="H9" s="58"/>
      <c r="I9" s="47"/>
      <c r="K9" s="59">
        <f>Safety!M2</f>
        <v>0</v>
      </c>
      <c r="L9" s="59">
        <f>Safety!N2</f>
        <v>0</v>
      </c>
      <c r="M9" s="59">
        <f>Safety!O2</f>
        <v>0</v>
      </c>
      <c r="N9" s="59">
        <f>Safety!P2</f>
        <v>10</v>
      </c>
      <c r="O9" s="59">
        <f>Safety!Q2</f>
        <v>0</v>
      </c>
      <c r="Q9" s="59">
        <f>Safety!U2</f>
        <v>0</v>
      </c>
      <c r="R9" s="59">
        <f>Safety!V2</f>
        <v>0</v>
      </c>
      <c r="S9" s="59">
        <f>Safety!W2</f>
        <v>10</v>
      </c>
      <c r="T9" s="59">
        <f>Safety!X2</f>
        <v>0</v>
      </c>
      <c r="U9" s="59">
        <f>Safety!Y2</f>
        <v>0</v>
      </c>
    </row>
    <row r="10" spans="2:21" ht="77.25" customHeight="1" x14ac:dyDescent="0.35">
      <c r="B10" s="42" t="s">
        <v>30</v>
      </c>
      <c r="C10" s="43" t="s">
        <v>234</v>
      </c>
      <c r="D10" s="44" t="s">
        <v>24</v>
      </c>
      <c r="E10" s="48" t="s">
        <v>20</v>
      </c>
      <c r="F10" s="48" t="s">
        <v>20</v>
      </c>
      <c r="G10" s="46">
        <f t="shared" si="0"/>
        <v>4</v>
      </c>
      <c r="H10" s="58"/>
      <c r="I10" s="47"/>
      <c r="K10" s="59">
        <f>'Environment Mgmt'!M2</f>
        <v>0</v>
      </c>
      <c r="L10" s="59">
        <f>'Environment Mgmt'!N2</f>
        <v>0</v>
      </c>
      <c r="M10" s="59">
        <f>'Environment Mgmt'!O2</f>
        <v>0</v>
      </c>
      <c r="N10" s="59">
        <f>'Environment Mgmt'!P2</f>
        <v>4</v>
      </c>
      <c r="O10" s="59">
        <f>'Environment Mgmt'!Q2</f>
        <v>0</v>
      </c>
      <c r="Q10" s="59">
        <f>'Environment Mgmt'!U2</f>
        <v>0</v>
      </c>
      <c r="R10" s="59">
        <f>'Environment Mgmt'!V2</f>
        <v>0</v>
      </c>
      <c r="S10" s="59">
        <f>'Environment Mgmt'!W2</f>
        <v>4</v>
      </c>
      <c r="T10" s="59">
        <f>'Environment Mgmt'!X2</f>
        <v>0</v>
      </c>
      <c r="U10" s="59">
        <f>'Environment Mgmt'!Y2</f>
        <v>0</v>
      </c>
    </row>
    <row r="11" spans="2:21" ht="77.25" customHeight="1" x14ac:dyDescent="0.35">
      <c r="B11" s="42" t="s">
        <v>31</v>
      </c>
      <c r="C11" s="43" t="s">
        <v>28</v>
      </c>
      <c r="D11" s="44" t="s">
        <v>24</v>
      </c>
      <c r="E11" s="48" t="s">
        <v>20</v>
      </c>
      <c r="F11" s="48" t="s">
        <v>20</v>
      </c>
      <c r="G11" s="46">
        <f t="shared" si="0"/>
        <v>24</v>
      </c>
      <c r="H11" s="58"/>
      <c r="I11" s="47"/>
      <c r="K11" s="59">
        <f>HMI!M2</f>
        <v>0</v>
      </c>
      <c r="L11" s="59">
        <f>HMI!N2</f>
        <v>0</v>
      </c>
      <c r="M11" s="59">
        <f>HMI!O2</f>
        <v>0</v>
      </c>
      <c r="N11" s="59">
        <f>HMI!P2</f>
        <v>24</v>
      </c>
      <c r="O11" s="59">
        <f>HMI!Q2</f>
        <v>0</v>
      </c>
      <c r="Q11" s="59">
        <f>HMI!U2</f>
        <v>0</v>
      </c>
      <c r="R11" s="59">
        <f>HMI!V2</f>
        <v>0</v>
      </c>
      <c r="S11" s="59">
        <f>HMI!W2</f>
        <v>24</v>
      </c>
      <c r="T11" s="59">
        <f>HMI!X2</f>
        <v>0</v>
      </c>
      <c r="U11" s="59">
        <f>HMI!Y2</f>
        <v>0</v>
      </c>
    </row>
    <row r="12" spans="2:21" s="7" customFormat="1" ht="37.5" customHeight="1" x14ac:dyDescent="0.35">
      <c r="B12" s="49"/>
      <c r="C12" s="50"/>
      <c r="D12" s="49"/>
      <c r="E12" s="49"/>
      <c r="F12" s="49"/>
      <c r="G12" s="66">
        <f>SUM(G5:G11)</f>
        <v>136</v>
      </c>
      <c r="H12" s="51"/>
      <c r="I12" s="51"/>
    </row>
    <row r="13" spans="2:21" s="7" customFormat="1" ht="31.5" customHeight="1" x14ac:dyDescent="0.35">
      <c r="B13" s="38"/>
      <c r="C13" s="39"/>
      <c r="D13" s="38"/>
      <c r="E13" s="38"/>
      <c r="F13" s="38"/>
      <c r="G13" s="102" t="s">
        <v>33</v>
      </c>
      <c r="H13" s="103"/>
      <c r="I13" s="103"/>
      <c r="K13" s="104" t="s">
        <v>2</v>
      </c>
      <c r="L13" s="104"/>
      <c r="M13" s="104"/>
      <c r="N13" s="104"/>
      <c r="O13" s="104"/>
      <c r="P13" s="104"/>
      <c r="Q13" s="104"/>
      <c r="R13" s="104"/>
      <c r="S13" s="104"/>
      <c r="T13" s="104"/>
      <c r="U13" s="104"/>
    </row>
  </sheetData>
  <mergeCells count="19">
    <mergeCell ref="K1:U1"/>
    <mergeCell ref="B2:I2"/>
    <mergeCell ref="K2:O2"/>
    <mergeCell ref="Q2:U2"/>
    <mergeCell ref="U3:U4"/>
    <mergeCell ref="B3:B4"/>
    <mergeCell ref="C3:C4"/>
    <mergeCell ref="D3:F3"/>
    <mergeCell ref="G1:I1"/>
    <mergeCell ref="G13:I13"/>
    <mergeCell ref="K13:U13"/>
    <mergeCell ref="I3:I4"/>
    <mergeCell ref="K3:M3"/>
    <mergeCell ref="N3:N4"/>
    <mergeCell ref="G3:G4"/>
    <mergeCell ref="H3:H4"/>
    <mergeCell ref="O3:O4"/>
    <mergeCell ref="Q3:S3"/>
    <mergeCell ref="T3:T4"/>
  </mergeCells>
  <conditionalFormatting sqref="D5:D11">
    <cfRule type="cellIs" dxfId="31" priority="1" operator="equal">
      <formula>"NA"</formula>
    </cfRule>
    <cfRule type="cellIs" dxfId="30" priority="2" operator="equal">
      <formula>"L"</formula>
    </cfRule>
    <cfRule type="cellIs" dxfId="29" priority="3" operator="equal">
      <formula>"AL"</formula>
    </cfRule>
    <cfRule type="cellIs" dxfId="28" priority="4" operator="equal">
      <formula>"C"</formula>
    </cfRule>
  </conditionalFormatting>
  <pageMargins left="0.7" right="0.7" top="0.75" bottom="0.75" header="0.3" footer="0.3"/>
  <pageSetup paperSize="9"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zoomScale="68" zoomScaleNormal="68" workbookViewId="0">
      <selection activeCell="D8" sqref="D8"/>
    </sheetView>
  </sheetViews>
  <sheetFormatPr defaultRowHeight="14.5" x14ac:dyDescent="0.35"/>
  <cols>
    <col min="1" max="1" width="6.453125" customWidth="1"/>
    <col min="2" max="2" width="20.7265625" customWidth="1"/>
    <col min="3" max="3" width="45.7265625" customWidth="1"/>
    <col min="4" max="4" width="28.1796875" bestFit="1" customWidth="1"/>
    <col min="5" max="5" width="28.1796875" customWidth="1"/>
    <col min="6" max="6" width="27.1796875" customWidth="1"/>
    <col min="7" max="7" width="22.7265625" customWidth="1"/>
    <col min="8" max="8" width="43.1796875" customWidth="1"/>
  </cols>
  <sheetData>
    <row r="1" spans="1:8" ht="89.5" customHeight="1" x14ac:dyDescent="0.35">
      <c r="A1" s="114"/>
      <c r="B1" s="114"/>
      <c r="C1" s="115" t="s">
        <v>284</v>
      </c>
      <c r="D1" s="116"/>
      <c r="E1" s="116"/>
      <c r="F1" s="116"/>
      <c r="G1" s="117"/>
      <c r="H1" s="53" t="s">
        <v>77</v>
      </c>
    </row>
    <row r="2" spans="1:8" ht="17.149999999999999" customHeight="1" x14ac:dyDescent="0.35">
      <c r="A2" s="118" t="s">
        <v>34</v>
      </c>
      <c r="B2" s="118"/>
      <c r="C2" s="119" t="s">
        <v>35</v>
      </c>
      <c r="D2" s="120"/>
      <c r="E2" s="120"/>
      <c r="F2" s="120"/>
      <c r="G2" s="120"/>
      <c r="H2" s="121"/>
    </row>
    <row r="3" spans="1:8" ht="15.65" customHeight="1" x14ac:dyDescent="0.35">
      <c r="A3" s="118" t="s">
        <v>36</v>
      </c>
      <c r="B3" s="118"/>
      <c r="C3" s="119" t="s">
        <v>0</v>
      </c>
      <c r="D3" s="120"/>
      <c r="E3" s="120"/>
      <c r="F3" s="120"/>
      <c r="G3" s="120"/>
      <c r="H3" s="121"/>
    </row>
    <row r="4" spans="1:8" x14ac:dyDescent="0.35">
      <c r="A4" s="31" t="s">
        <v>37</v>
      </c>
      <c r="B4" s="31" t="s">
        <v>38</v>
      </c>
      <c r="C4" s="31" t="s">
        <v>39</v>
      </c>
      <c r="D4" s="31" t="s">
        <v>40</v>
      </c>
      <c r="E4" s="31" t="s">
        <v>41</v>
      </c>
      <c r="F4" s="31" t="s">
        <v>42</v>
      </c>
      <c r="G4" s="31" t="s">
        <v>43</v>
      </c>
      <c r="H4" s="31" t="s">
        <v>44</v>
      </c>
    </row>
    <row r="5" spans="1:8" ht="31" x14ac:dyDescent="0.35">
      <c r="A5" s="54">
        <v>1</v>
      </c>
      <c r="B5" s="54" t="s">
        <v>241</v>
      </c>
      <c r="C5" s="90" t="s">
        <v>242</v>
      </c>
      <c r="D5" s="54" t="s">
        <v>243</v>
      </c>
      <c r="E5" s="54" t="s">
        <v>300</v>
      </c>
      <c r="F5" s="56" t="s">
        <v>244</v>
      </c>
      <c r="G5" s="54" t="s">
        <v>245</v>
      </c>
      <c r="H5" s="57">
        <v>45922</v>
      </c>
    </row>
    <row r="6" spans="1:8" ht="15.5" x14ac:dyDescent="0.35">
      <c r="A6" s="54">
        <v>2</v>
      </c>
      <c r="B6" s="54" t="s">
        <v>282</v>
      </c>
      <c r="C6" s="53" t="s">
        <v>283</v>
      </c>
      <c r="D6" s="54" t="s">
        <v>243</v>
      </c>
      <c r="E6" s="54" t="s">
        <v>300</v>
      </c>
      <c r="F6" s="56" t="s">
        <v>244</v>
      </c>
      <c r="G6" s="54" t="s">
        <v>285</v>
      </c>
      <c r="H6" s="57">
        <v>46041</v>
      </c>
    </row>
    <row r="7" spans="1:8" ht="31" x14ac:dyDescent="0.35">
      <c r="A7" s="54">
        <v>3</v>
      </c>
      <c r="B7" s="54" t="s">
        <v>299</v>
      </c>
      <c r="C7" s="53" t="s">
        <v>302</v>
      </c>
      <c r="D7" s="54" t="s">
        <v>243</v>
      </c>
      <c r="E7" s="54" t="s">
        <v>300</v>
      </c>
      <c r="F7" s="56" t="s">
        <v>244</v>
      </c>
      <c r="G7" s="54" t="s">
        <v>301</v>
      </c>
      <c r="H7" s="57">
        <v>46146</v>
      </c>
    </row>
    <row r="8" spans="1:8" ht="15.5" x14ac:dyDescent="0.35">
      <c r="A8" s="54">
        <v>4</v>
      </c>
      <c r="B8" s="54" t="s">
        <v>306</v>
      </c>
      <c r="C8" s="90" t="s">
        <v>308</v>
      </c>
      <c r="D8" s="54" t="s">
        <v>243</v>
      </c>
      <c r="E8" s="54" t="s">
        <v>300</v>
      </c>
      <c r="F8" s="56" t="s">
        <v>244</v>
      </c>
      <c r="G8" s="54" t="s">
        <v>307</v>
      </c>
      <c r="H8" s="57">
        <v>46156</v>
      </c>
    </row>
    <row r="9" spans="1:8" ht="31" x14ac:dyDescent="0.35">
      <c r="A9" s="54">
        <v>5</v>
      </c>
      <c r="B9" s="54" t="s">
        <v>312</v>
      </c>
      <c r="C9" s="90" t="s">
        <v>314</v>
      </c>
      <c r="D9" s="54" t="s">
        <v>243</v>
      </c>
      <c r="E9" s="54" t="s">
        <v>300</v>
      </c>
      <c r="F9" s="56" t="s">
        <v>244</v>
      </c>
      <c r="G9" s="54" t="s">
        <v>313</v>
      </c>
      <c r="H9" s="57">
        <v>46238</v>
      </c>
    </row>
    <row r="10" spans="1:8" ht="15.5" x14ac:dyDescent="0.35">
      <c r="A10" s="54">
        <v>6</v>
      </c>
      <c r="B10" s="54"/>
      <c r="C10" s="56"/>
      <c r="D10" s="54"/>
      <c r="E10" s="54"/>
      <c r="F10" s="56"/>
      <c r="G10" s="54"/>
      <c r="H10" s="57"/>
    </row>
    <row r="11" spans="1:8" ht="15.5" x14ac:dyDescent="0.35">
      <c r="A11" s="54">
        <v>7</v>
      </c>
      <c r="B11" s="54"/>
      <c r="C11" s="56"/>
      <c r="D11" s="54"/>
      <c r="E11" s="54"/>
      <c r="F11" s="56"/>
      <c r="G11" s="54"/>
      <c r="H11" s="57"/>
    </row>
    <row r="12" spans="1:8" ht="15.5" x14ac:dyDescent="0.35">
      <c r="A12" s="54"/>
      <c r="B12" s="56"/>
      <c r="C12" s="55"/>
      <c r="D12" s="54"/>
      <c r="E12" s="54"/>
      <c r="F12" s="56"/>
      <c r="G12" s="54"/>
      <c r="H12" s="57"/>
    </row>
    <row r="13" spans="1:8" ht="15.5" x14ac:dyDescent="0.35">
      <c r="A13" s="54"/>
      <c r="B13" s="56"/>
      <c r="C13" s="55"/>
      <c r="D13" s="54"/>
      <c r="E13" s="54"/>
      <c r="F13" s="56"/>
      <c r="G13" s="54"/>
      <c r="H13" s="57"/>
    </row>
    <row r="14" spans="1:8" ht="15.5" x14ac:dyDescent="0.35">
      <c r="A14" s="54"/>
      <c r="B14" s="56"/>
      <c r="C14" s="55"/>
      <c r="D14" s="54"/>
      <c r="E14" s="54"/>
      <c r="F14" s="56"/>
      <c r="G14" s="54"/>
      <c r="H14" s="57"/>
    </row>
  </sheetData>
  <mergeCells count="6">
    <mergeCell ref="A1:B1"/>
    <mergeCell ref="C1:G1"/>
    <mergeCell ref="A2:B2"/>
    <mergeCell ref="C2:H2"/>
    <mergeCell ref="A3:B3"/>
    <mergeCell ref="C3:H3"/>
  </mergeCells>
  <phoneticPr fontId="4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10:H15"/>
  <sheetViews>
    <sheetView workbookViewId="0">
      <selection activeCell="F11" sqref="F11"/>
    </sheetView>
  </sheetViews>
  <sheetFormatPr defaultColWidth="9.1796875" defaultRowHeight="13" x14ac:dyDescent="0.3"/>
  <cols>
    <col min="1" max="5" width="9.1796875" style="10"/>
    <col min="6" max="6" width="25.54296875" style="10" customWidth="1"/>
    <col min="7" max="7" width="1.453125" style="10" customWidth="1"/>
    <col min="8" max="8" width="25" style="10" bestFit="1" customWidth="1"/>
    <col min="9" max="16384" width="9.1796875" style="10"/>
  </cols>
  <sheetData>
    <row r="10" spans="6:8" x14ac:dyDescent="0.3">
      <c r="F10" s="9" t="s">
        <v>45</v>
      </c>
      <c r="H10" s="9" t="s">
        <v>46</v>
      </c>
    </row>
    <row r="11" spans="6:8" ht="25.5" customHeight="1" x14ac:dyDescent="0.3">
      <c r="F11" s="11" t="s">
        <v>47</v>
      </c>
      <c r="H11" s="11" t="s">
        <v>48</v>
      </c>
    </row>
    <row r="12" spans="6:8" ht="42" customHeight="1" x14ac:dyDescent="0.3">
      <c r="F12" s="12" t="s">
        <v>49</v>
      </c>
      <c r="H12" s="12" t="s">
        <v>50</v>
      </c>
    </row>
    <row r="13" spans="6:8" ht="25.5" customHeight="1" x14ac:dyDescent="0.3">
      <c r="F13" s="13" t="s">
        <v>51</v>
      </c>
      <c r="H13" s="13" t="s">
        <v>52</v>
      </c>
    </row>
    <row r="14" spans="6:8" ht="25.5" customHeight="1" x14ac:dyDescent="0.3">
      <c r="F14" s="72" t="s">
        <v>72</v>
      </c>
      <c r="H14" s="72" t="s">
        <v>53</v>
      </c>
    </row>
    <row r="15" spans="6:8" ht="25.5" customHeight="1" x14ac:dyDescent="0.3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Y74"/>
  <sheetViews>
    <sheetView zoomScale="50" zoomScaleNormal="50" workbookViewId="0">
      <pane xSplit="10" ySplit="3" topLeftCell="K58" activePane="bottomRight" state="frozen"/>
      <selection pane="topRight" activeCell="K1" sqref="K1"/>
      <selection pane="bottomLeft" activeCell="A4" sqref="A4"/>
      <selection pane="bottomRight" activeCell="E63" sqref="E63"/>
    </sheetView>
  </sheetViews>
  <sheetFormatPr defaultColWidth="8.54296875" defaultRowHeight="14.5" x14ac:dyDescent="0.35"/>
  <cols>
    <col min="1" max="1" width="6.453125" style="2" customWidth="1"/>
    <col min="2" max="2" width="17.1796875" style="21" customWidth="1"/>
    <col min="3" max="3" width="29.453125" style="2" customWidth="1"/>
    <col min="4" max="4" width="32.453125" style="2" customWidth="1"/>
    <col min="5" max="5" width="27.1796875" style="8" customWidth="1"/>
    <col min="6" max="6" width="32.54296875" style="8" customWidth="1"/>
    <col min="7" max="7" width="2.453125" style="3" customWidth="1"/>
    <col min="8" max="8" width="20" style="2" customWidth="1"/>
    <col min="9" max="9" width="2.54296875" style="2" customWidth="1"/>
    <col min="10" max="10" width="27.54296875" style="4" customWidth="1"/>
    <col min="11" max="11" width="8.54296875" style="3"/>
    <col min="12" max="12" width="18.6328125" style="3" customWidth="1"/>
    <col min="13" max="16" width="8.54296875" style="3"/>
    <col min="17" max="17" width="48.6328125" style="8" customWidth="1"/>
    <col min="18" max="18" width="13.26953125" style="3" customWidth="1"/>
    <col min="19" max="19" width="8.54296875" style="3"/>
    <col min="20" max="20" width="19" style="3" customWidth="1"/>
    <col min="21" max="24" width="8.54296875" style="3"/>
    <col min="25" max="25" width="49.54296875" style="3" customWidth="1"/>
    <col min="26" max="16384" width="8.54296875" style="3"/>
  </cols>
  <sheetData>
    <row r="1" spans="1:25" ht="26" x14ac:dyDescent="0.35">
      <c r="A1" s="101" t="s">
        <v>75</v>
      </c>
      <c r="B1" s="101"/>
      <c r="C1" s="101"/>
      <c r="D1" s="101"/>
      <c r="E1" s="101"/>
      <c r="F1" s="101"/>
      <c r="G1" s="101"/>
      <c r="H1" s="101"/>
      <c r="I1" s="101"/>
      <c r="J1" s="101"/>
      <c r="L1" s="124" t="s">
        <v>309</v>
      </c>
      <c r="M1" s="125"/>
      <c r="N1" s="125"/>
      <c r="O1" s="125"/>
      <c r="P1" s="125"/>
      <c r="Q1" s="125"/>
      <c r="R1" s="126"/>
      <c r="T1" s="100" t="s">
        <v>54</v>
      </c>
      <c r="U1" s="100"/>
      <c r="V1" s="100"/>
      <c r="W1" s="100"/>
      <c r="X1" s="100"/>
      <c r="Y1" s="100"/>
    </row>
    <row r="2" spans="1:25" x14ac:dyDescent="0.35">
      <c r="A2" s="14" t="s">
        <v>5</v>
      </c>
      <c r="B2" s="14" t="s">
        <v>55</v>
      </c>
      <c r="C2" s="14" t="s">
        <v>56</v>
      </c>
      <c r="D2" s="14" t="s">
        <v>57</v>
      </c>
      <c r="E2" s="93" t="s">
        <v>58</v>
      </c>
      <c r="F2" s="15" t="s">
        <v>59</v>
      </c>
      <c r="G2" s="16"/>
      <c r="H2" s="14" t="s">
        <v>60</v>
      </c>
      <c r="I2" s="16" t="s">
        <v>5</v>
      </c>
      <c r="J2" s="15" t="s">
        <v>12</v>
      </c>
      <c r="L2" s="31" t="s">
        <v>61</v>
      </c>
      <c r="M2" s="6">
        <f>SUM(M4:M130)</f>
        <v>0</v>
      </c>
      <c r="N2" s="6">
        <f>SUM(N4:N130)</f>
        <v>0</v>
      </c>
      <c r="O2" s="6">
        <f>SUM(O4:O130)</f>
        <v>0</v>
      </c>
      <c r="P2" s="6">
        <f>SUM(P4:P130)</f>
        <v>69</v>
      </c>
      <c r="Q2" s="4"/>
      <c r="R2" s="63"/>
      <c r="T2" s="31" t="s">
        <v>61</v>
      </c>
      <c r="U2" s="6">
        <f>SUM(U4:U130)</f>
        <v>0</v>
      </c>
      <c r="V2" s="6">
        <f>SUM(V4:V130)</f>
        <v>0</v>
      </c>
      <c r="W2" s="6">
        <f>SUM(W4:W130)</f>
        <v>69</v>
      </c>
      <c r="X2" s="6">
        <f>SUM(X4:X130)</f>
        <v>0</v>
      </c>
      <c r="Y2" s="18"/>
    </row>
    <row r="3" spans="1:25" ht="15.5" x14ac:dyDescent="0.35">
      <c r="A3" s="6">
        <v>1</v>
      </c>
      <c r="B3" s="122" t="s">
        <v>62</v>
      </c>
      <c r="C3" s="123"/>
      <c r="D3" s="6"/>
      <c r="E3" s="18"/>
      <c r="F3" s="18"/>
      <c r="G3" s="5"/>
      <c r="H3" s="6"/>
      <c r="I3" s="6"/>
      <c r="J3" s="19"/>
      <c r="L3" s="6" t="s">
        <v>63</v>
      </c>
      <c r="M3" s="32" t="s">
        <v>64</v>
      </c>
      <c r="N3" s="33" t="s">
        <v>65</v>
      </c>
      <c r="O3" s="34" t="s">
        <v>66</v>
      </c>
      <c r="P3" s="35" t="s">
        <v>67</v>
      </c>
      <c r="Q3" s="67" t="s">
        <v>68</v>
      </c>
      <c r="R3" s="63" t="s">
        <v>73</v>
      </c>
      <c r="T3" s="6" t="s">
        <v>63</v>
      </c>
      <c r="U3" s="32" t="s">
        <v>64</v>
      </c>
      <c r="V3" s="33" t="s">
        <v>65</v>
      </c>
      <c r="W3" s="34" t="s">
        <v>66</v>
      </c>
      <c r="X3" s="35" t="s">
        <v>67</v>
      </c>
      <c r="Y3" s="19" t="s">
        <v>68</v>
      </c>
    </row>
    <row r="4" spans="1:25" ht="68" customHeight="1" x14ac:dyDescent="0.35">
      <c r="A4" s="6"/>
      <c r="B4" s="75"/>
      <c r="C4" s="31" t="s">
        <v>78</v>
      </c>
      <c r="D4" s="63"/>
      <c r="E4" s="18"/>
      <c r="F4" s="75"/>
      <c r="G4" s="25"/>
      <c r="H4" s="6"/>
      <c r="I4" s="24"/>
      <c r="J4" s="60"/>
      <c r="L4" s="6"/>
      <c r="M4" s="6"/>
      <c r="N4" s="6"/>
      <c r="O4" s="6"/>
      <c r="P4" s="6"/>
      <c r="Q4" s="19"/>
      <c r="R4" s="6" t="s">
        <v>20</v>
      </c>
      <c r="T4" s="6"/>
      <c r="U4" s="6"/>
      <c r="V4" s="6"/>
      <c r="W4" s="6"/>
      <c r="X4" s="6"/>
      <c r="Y4" s="18"/>
    </row>
    <row r="5" spans="1:25" ht="68" customHeight="1" x14ac:dyDescent="0.35">
      <c r="A5" s="6"/>
      <c r="B5" s="75"/>
      <c r="C5" s="6"/>
      <c r="D5" s="127" t="s">
        <v>82</v>
      </c>
      <c r="E5" s="5" t="s">
        <v>237</v>
      </c>
      <c r="F5" s="75"/>
      <c r="G5" s="25"/>
      <c r="H5" s="6" t="s">
        <v>83</v>
      </c>
      <c r="I5" s="24"/>
      <c r="J5" s="60">
        <v>280</v>
      </c>
      <c r="L5" s="6" t="s">
        <v>67</v>
      </c>
      <c r="M5" s="6">
        <f t="shared" ref="M5:M44" si="0">COUNTIFS(L5,"R")</f>
        <v>0</v>
      </c>
      <c r="N5" s="6">
        <f t="shared" ref="N5:N14" si="1">COUNTIFS(L5,"Y")</f>
        <v>0</v>
      </c>
      <c r="O5" s="6">
        <f t="shared" ref="O5:O14" si="2">COUNTIFS(L5,"G")</f>
        <v>0</v>
      </c>
      <c r="P5" s="6">
        <f t="shared" ref="P5:P14" si="3">COUNTIFS(L5,"B")</f>
        <v>1</v>
      </c>
      <c r="Q5" s="19"/>
      <c r="R5" s="6"/>
      <c r="T5" s="6" t="s">
        <v>66</v>
      </c>
      <c r="U5" s="6">
        <f t="shared" ref="U5:U13" si="4">COUNTIFS(T5,"R")</f>
        <v>0</v>
      </c>
      <c r="V5" s="6">
        <f t="shared" ref="V5:V13" si="5">COUNTIFS(T5,"Y")</f>
        <v>0</v>
      </c>
      <c r="W5" s="6">
        <f t="shared" ref="W5:W13" si="6">COUNTIFS(T5,"G")</f>
        <v>1</v>
      </c>
      <c r="X5" s="6">
        <f t="shared" ref="X5:X13" si="7">COUNTIFS(T5,"B")</f>
        <v>0</v>
      </c>
      <c r="Y5" s="18"/>
    </row>
    <row r="6" spans="1:25" ht="68" customHeight="1" x14ac:dyDescent="0.35">
      <c r="A6" s="6"/>
      <c r="B6" s="75"/>
      <c r="C6" s="6"/>
      <c r="D6" s="131"/>
      <c r="E6" s="5" t="s">
        <v>238</v>
      </c>
      <c r="F6" s="75"/>
      <c r="G6" s="25"/>
      <c r="H6" s="6" t="s">
        <v>83</v>
      </c>
      <c r="I6" s="24"/>
      <c r="J6" s="60">
        <v>280</v>
      </c>
      <c r="L6" s="6" t="s">
        <v>67</v>
      </c>
      <c r="M6" s="6">
        <f t="shared" si="0"/>
        <v>0</v>
      </c>
      <c r="N6" s="6">
        <f t="shared" si="1"/>
        <v>0</v>
      </c>
      <c r="O6" s="6">
        <f t="shared" si="2"/>
        <v>0</v>
      </c>
      <c r="P6" s="6">
        <f t="shared" si="3"/>
        <v>1</v>
      </c>
      <c r="Q6" s="19"/>
      <c r="R6" s="6"/>
      <c r="T6" s="6" t="s">
        <v>66</v>
      </c>
      <c r="U6" s="6">
        <f t="shared" si="4"/>
        <v>0</v>
      </c>
      <c r="V6" s="6">
        <f t="shared" si="5"/>
        <v>0</v>
      </c>
      <c r="W6" s="6">
        <f t="shared" si="6"/>
        <v>1</v>
      </c>
      <c r="X6" s="6">
        <f t="shared" si="7"/>
        <v>0</v>
      </c>
      <c r="Y6" s="18"/>
    </row>
    <row r="7" spans="1:25" ht="68" customHeight="1" x14ac:dyDescent="0.35">
      <c r="A7" s="6"/>
      <c r="B7" s="75"/>
      <c r="C7" s="6"/>
      <c r="D7" s="128"/>
      <c r="E7" s="5" t="s">
        <v>250</v>
      </c>
      <c r="F7" s="75"/>
      <c r="G7" s="25"/>
      <c r="H7" s="6" t="s">
        <v>83</v>
      </c>
      <c r="I7" s="24"/>
      <c r="J7" s="60">
        <v>250</v>
      </c>
      <c r="L7" s="6" t="s">
        <v>67</v>
      </c>
      <c r="M7" s="6">
        <f t="shared" si="0"/>
        <v>0</v>
      </c>
      <c r="N7" s="6">
        <f t="shared" si="1"/>
        <v>0</v>
      </c>
      <c r="O7" s="6">
        <f t="shared" si="2"/>
        <v>0</v>
      </c>
      <c r="P7" s="6">
        <f t="shared" si="3"/>
        <v>1</v>
      </c>
      <c r="Q7" s="19"/>
      <c r="R7" s="6"/>
      <c r="T7" s="6" t="s">
        <v>66</v>
      </c>
      <c r="U7" s="6">
        <f t="shared" si="4"/>
        <v>0</v>
      </c>
      <c r="V7" s="6">
        <f t="shared" si="5"/>
        <v>0</v>
      </c>
      <c r="W7" s="6">
        <f t="shared" si="6"/>
        <v>1</v>
      </c>
      <c r="X7" s="6">
        <f t="shared" si="7"/>
        <v>0</v>
      </c>
      <c r="Y7" s="18"/>
    </row>
    <row r="8" spans="1:25" ht="68" customHeight="1" x14ac:dyDescent="0.35">
      <c r="A8" s="6"/>
      <c r="B8" s="75"/>
      <c r="C8" s="6"/>
      <c r="D8" s="129" t="s">
        <v>85</v>
      </c>
      <c r="E8" s="25" t="s">
        <v>237</v>
      </c>
      <c r="F8" s="75"/>
      <c r="G8" s="25"/>
      <c r="H8" s="6" t="s">
        <v>83</v>
      </c>
      <c r="I8" s="24"/>
      <c r="J8" s="60">
        <v>188</v>
      </c>
      <c r="L8" s="6" t="s">
        <v>67</v>
      </c>
      <c r="M8" s="6">
        <f t="shared" si="0"/>
        <v>0</v>
      </c>
      <c r="N8" s="6">
        <f t="shared" si="1"/>
        <v>0</v>
      </c>
      <c r="O8" s="6">
        <f t="shared" si="2"/>
        <v>0</v>
      </c>
      <c r="P8" s="6">
        <f t="shared" si="3"/>
        <v>1</v>
      </c>
      <c r="Q8" s="19"/>
      <c r="R8" s="6"/>
      <c r="T8" s="6" t="s">
        <v>66</v>
      </c>
      <c r="U8" s="6">
        <f t="shared" si="4"/>
        <v>0</v>
      </c>
      <c r="V8" s="6">
        <f t="shared" si="5"/>
        <v>0</v>
      </c>
      <c r="W8" s="6">
        <f t="shared" si="6"/>
        <v>1</v>
      </c>
      <c r="X8" s="6">
        <f t="shared" si="7"/>
        <v>0</v>
      </c>
      <c r="Y8" s="18"/>
    </row>
    <row r="9" spans="1:25" ht="68" customHeight="1" x14ac:dyDescent="0.35">
      <c r="A9" s="6"/>
      <c r="B9" s="75"/>
      <c r="C9" s="6"/>
      <c r="D9" s="130"/>
      <c r="E9" s="5" t="s">
        <v>238</v>
      </c>
      <c r="F9" s="75"/>
      <c r="G9" s="25"/>
      <c r="H9" s="6" t="s">
        <v>83</v>
      </c>
      <c r="I9" s="24"/>
      <c r="J9" s="60">
        <v>188</v>
      </c>
      <c r="L9" s="6" t="s">
        <v>67</v>
      </c>
      <c r="M9" s="6">
        <f t="shared" si="0"/>
        <v>0</v>
      </c>
      <c r="N9" s="6">
        <f t="shared" si="1"/>
        <v>0</v>
      </c>
      <c r="O9" s="6">
        <f t="shared" si="2"/>
        <v>0</v>
      </c>
      <c r="P9" s="6">
        <f t="shared" si="3"/>
        <v>1</v>
      </c>
      <c r="Q9" s="19"/>
      <c r="R9" s="6"/>
      <c r="T9" s="6" t="s">
        <v>66</v>
      </c>
      <c r="U9" s="6">
        <f t="shared" si="4"/>
        <v>0</v>
      </c>
      <c r="V9" s="6">
        <f t="shared" si="5"/>
        <v>0</v>
      </c>
      <c r="W9" s="6">
        <f t="shared" si="6"/>
        <v>1</v>
      </c>
      <c r="X9" s="6">
        <f t="shared" si="7"/>
        <v>0</v>
      </c>
      <c r="Y9" s="18"/>
    </row>
    <row r="10" spans="1:25" ht="68" customHeight="1" x14ac:dyDescent="0.35">
      <c r="A10" s="6"/>
      <c r="B10" s="75"/>
      <c r="C10" s="6"/>
      <c r="D10" s="130"/>
      <c r="E10" s="5" t="s">
        <v>239</v>
      </c>
      <c r="F10" s="75"/>
      <c r="G10" s="25"/>
      <c r="H10" s="6" t="s">
        <v>83</v>
      </c>
      <c r="I10" s="24"/>
      <c r="J10" s="60">
        <v>188</v>
      </c>
      <c r="L10" s="6" t="s">
        <v>67</v>
      </c>
      <c r="M10" s="6">
        <f t="shared" si="0"/>
        <v>0</v>
      </c>
      <c r="N10" s="6">
        <f t="shared" si="1"/>
        <v>0</v>
      </c>
      <c r="O10" s="6">
        <f t="shared" si="2"/>
        <v>0</v>
      </c>
      <c r="P10" s="6">
        <f t="shared" si="3"/>
        <v>1</v>
      </c>
      <c r="Q10" s="19"/>
      <c r="R10" s="6"/>
      <c r="T10" s="6" t="s">
        <v>66</v>
      </c>
      <c r="U10" s="6">
        <f t="shared" si="4"/>
        <v>0</v>
      </c>
      <c r="V10" s="6">
        <f t="shared" si="5"/>
        <v>0</v>
      </c>
      <c r="W10" s="6">
        <f t="shared" si="6"/>
        <v>1</v>
      </c>
      <c r="X10" s="6">
        <f t="shared" si="7"/>
        <v>0</v>
      </c>
      <c r="Y10" s="18"/>
    </row>
    <row r="11" spans="1:25" ht="68" customHeight="1" x14ac:dyDescent="0.35">
      <c r="A11" s="6"/>
      <c r="B11" s="75"/>
      <c r="C11" s="6"/>
      <c r="D11" s="129" t="s">
        <v>86</v>
      </c>
      <c r="E11" s="5" t="s">
        <v>84</v>
      </c>
      <c r="F11" s="75"/>
      <c r="G11" s="25"/>
      <c r="H11" s="6" t="s">
        <v>69</v>
      </c>
      <c r="I11" s="24"/>
      <c r="J11" s="60" t="s">
        <v>252</v>
      </c>
      <c r="L11" s="6" t="s">
        <v>67</v>
      </c>
      <c r="M11" s="6">
        <f t="shared" si="0"/>
        <v>0</v>
      </c>
      <c r="N11" s="6">
        <f t="shared" si="1"/>
        <v>0</v>
      </c>
      <c r="O11" s="6">
        <f t="shared" si="2"/>
        <v>0</v>
      </c>
      <c r="P11" s="6">
        <f t="shared" si="3"/>
        <v>1</v>
      </c>
      <c r="Q11" s="19"/>
      <c r="R11" s="6"/>
      <c r="T11" s="6" t="s">
        <v>66</v>
      </c>
      <c r="U11" s="6">
        <f t="shared" si="4"/>
        <v>0</v>
      </c>
      <c r="V11" s="6">
        <f t="shared" si="5"/>
        <v>0</v>
      </c>
      <c r="W11" s="6">
        <f t="shared" si="6"/>
        <v>1</v>
      </c>
      <c r="X11" s="6">
        <f t="shared" si="7"/>
        <v>0</v>
      </c>
      <c r="Y11" s="18"/>
    </row>
    <row r="12" spans="1:25" ht="68" customHeight="1" x14ac:dyDescent="0.35">
      <c r="A12" s="6"/>
      <c r="B12" s="75"/>
      <c r="C12" s="6"/>
      <c r="D12" s="132"/>
      <c r="E12" s="5" t="s">
        <v>87</v>
      </c>
      <c r="F12" s="75"/>
      <c r="G12" s="25"/>
      <c r="H12" s="6" t="s">
        <v>69</v>
      </c>
      <c r="I12" s="24"/>
      <c r="J12" s="19" t="s">
        <v>249</v>
      </c>
      <c r="L12" s="6" t="s">
        <v>67</v>
      </c>
      <c r="M12" s="6">
        <f t="shared" si="0"/>
        <v>0</v>
      </c>
      <c r="N12" s="6">
        <f t="shared" si="1"/>
        <v>0</v>
      </c>
      <c r="O12" s="6">
        <f t="shared" si="2"/>
        <v>0</v>
      </c>
      <c r="P12" s="6">
        <f t="shared" si="3"/>
        <v>1</v>
      </c>
      <c r="Q12" s="19"/>
      <c r="R12" s="6"/>
      <c r="T12" s="6" t="s">
        <v>66</v>
      </c>
      <c r="U12" s="6">
        <f t="shared" si="4"/>
        <v>0</v>
      </c>
      <c r="V12" s="6">
        <f t="shared" si="5"/>
        <v>0</v>
      </c>
      <c r="W12" s="6">
        <f t="shared" si="6"/>
        <v>1</v>
      </c>
      <c r="X12" s="6">
        <f t="shared" si="7"/>
        <v>0</v>
      </c>
      <c r="Y12" s="18"/>
    </row>
    <row r="13" spans="1:25" ht="68" customHeight="1" x14ac:dyDescent="0.35">
      <c r="A13" s="6"/>
      <c r="B13" s="75"/>
      <c r="C13" s="6"/>
      <c r="D13" s="129" t="s">
        <v>89</v>
      </c>
      <c r="E13" s="5" t="s">
        <v>295</v>
      </c>
      <c r="F13" s="75"/>
      <c r="G13" s="25"/>
      <c r="H13" s="6" t="s">
        <v>81</v>
      </c>
      <c r="I13" s="24"/>
      <c r="J13" s="60" t="s">
        <v>247</v>
      </c>
      <c r="L13" s="6" t="s">
        <v>67</v>
      </c>
      <c r="M13" s="6">
        <f t="shared" si="0"/>
        <v>0</v>
      </c>
      <c r="N13" s="6">
        <f t="shared" si="1"/>
        <v>0</v>
      </c>
      <c r="O13" s="6">
        <f t="shared" si="2"/>
        <v>0</v>
      </c>
      <c r="P13" s="6">
        <f t="shared" si="3"/>
        <v>1</v>
      </c>
      <c r="Q13" s="19"/>
      <c r="R13" s="6"/>
      <c r="T13" s="6" t="s">
        <v>66</v>
      </c>
      <c r="U13" s="6">
        <f t="shared" si="4"/>
        <v>0</v>
      </c>
      <c r="V13" s="6">
        <f t="shared" si="5"/>
        <v>0</v>
      </c>
      <c r="W13" s="6">
        <f t="shared" si="6"/>
        <v>1</v>
      </c>
      <c r="X13" s="6">
        <f t="shared" si="7"/>
        <v>0</v>
      </c>
      <c r="Y13" s="18"/>
    </row>
    <row r="14" spans="1:25" ht="68" customHeight="1" x14ac:dyDescent="0.35">
      <c r="A14" s="6"/>
      <c r="B14" s="75"/>
      <c r="C14" s="6"/>
      <c r="D14" s="132"/>
      <c r="E14" s="5" t="s">
        <v>296</v>
      </c>
      <c r="F14" s="75"/>
      <c r="G14" s="25"/>
      <c r="H14" s="6" t="s">
        <v>81</v>
      </c>
      <c r="I14" s="24"/>
      <c r="J14" s="96" t="s">
        <v>303</v>
      </c>
      <c r="L14" s="6" t="s">
        <v>67</v>
      </c>
      <c r="M14" s="6">
        <f t="shared" si="0"/>
        <v>0</v>
      </c>
      <c r="N14" s="6">
        <f t="shared" si="1"/>
        <v>0</v>
      </c>
      <c r="O14" s="6">
        <f t="shared" si="2"/>
        <v>0</v>
      </c>
      <c r="P14" s="6">
        <f t="shared" si="3"/>
        <v>1</v>
      </c>
      <c r="Q14" s="19"/>
      <c r="R14" s="6"/>
      <c r="T14" s="6" t="s">
        <v>66</v>
      </c>
      <c r="U14" s="6">
        <f t="shared" ref="U14:U30" si="8">COUNTIFS(T14,"R")</f>
        <v>0</v>
      </c>
      <c r="V14" s="6">
        <f t="shared" ref="V14:V30" si="9">COUNTIFS(T14,"Y")</f>
        <v>0</v>
      </c>
      <c r="W14" s="6">
        <f t="shared" ref="W14:W30" si="10">COUNTIFS(T14,"G")</f>
        <v>1</v>
      </c>
      <c r="X14" s="6">
        <f t="shared" ref="X14:X30" si="11">COUNTIFS(T14,"B")</f>
        <v>0</v>
      </c>
      <c r="Y14" s="18"/>
    </row>
    <row r="15" spans="1:25" ht="68" customHeight="1" x14ac:dyDescent="0.35">
      <c r="A15" s="6"/>
      <c r="B15" s="75"/>
      <c r="C15" s="6"/>
      <c r="D15" s="129" t="s">
        <v>92</v>
      </c>
      <c r="E15" s="5" t="s">
        <v>295</v>
      </c>
      <c r="F15" s="75"/>
      <c r="G15" s="25"/>
      <c r="H15" s="6" t="s">
        <v>83</v>
      </c>
      <c r="I15" s="24"/>
      <c r="J15" s="60" t="s">
        <v>246</v>
      </c>
      <c r="L15" s="6" t="s">
        <v>67</v>
      </c>
      <c r="M15" s="6">
        <f t="shared" si="0"/>
        <v>0</v>
      </c>
      <c r="N15" s="6">
        <f t="shared" ref="N15:N39" si="12">COUNTIFS(L15,"Y")</f>
        <v>0</v>
      </c>
      <c r="O15" s="6">
        <f t="shared" ref="O15:O39" si="13">COUNTIFS(L15,"G")</f>
        <v>0</v>
      </c>
      <c r="P15" s="6">
        <f t="shared" ref="P15:P39" si="14">COUNTIFS(L15,"B")</f>
        <v>1</v>
      </c>
      <c r="Q15" s="19"/>
      <c r="R15" s="6"/>
      <c r="T15" s="6" t="s">
        <v>66</v>
      </c>
      <c r="U15" s="6">
        <f t="shared" si="8"/>
        <v>0</v>
      </c>
      <c r="V15" s="6">
        <f t="shared" si="9"/>
        <v>0</v>
      </c>
      <c r="W15" s="6">
        <f t="shared" si="10"/>
        <v>1</v>
      </c>
      <c r="X15" s="6">
        <f t="shared" si="11"/>
        <v>0</v>
      </c>
      <c r="Y15" s="18"/>
    </row>
    <row r="16" spans="1:25" ht="68" customHeight="1" x14ac:dyDescent="0.35">
      <c r="A16" s="6"/>
      <c r="B16" s="75"/>
      <c r="C16" s="6"/>
      <c r="D16" s="132"/>
      <c r="E16" s="5" t="s">
        <v>296</v>
      </c>
      <c r="F16" s="75"/>
      <c r="G16" s="25"/>
      <c r="H16" s="6" t="s">
        <v>83</v>
      </c>
      <c r="I16" s="24"/>
      <c r="J16" s="96" t="s">
        <v>304</v>
      </c>
      <c r="L16" s="6" t="s">
        <v>67</v>
      </c>
      <c r="M16" s="6">
        <f t="shared" si="0"/>
        <v>0</v>
      </c>
      <c r="N16" s="6">
        <f t="shared" si="12"/>
        <v>0</v>
      </c>
      <c r="O16" s="6">
        <f t="shared" si="13"/>
        <v>0</v>
      </c>
      <c r="P16" s="6">
        <f t="shared" si="14"/>
        <v>1</v>
      </c>
      <c r="Q16" s="19"/>
      <c r="R16" s="6"/>
      <c r="T16" s="6" t="s">
        <v>66</v>
      </c>
      <c r="U16" s="6">
        <f t="shared" si="8"/>
        <v>0</v>
      </c>
      <c r="V16" s="6">
        <f t="shared" si="9"/>
        <v>0</v>
      </c>
      <c r="W16" s="6">
        <f t="shared" si="10"/>
        <v>1</v>
      </c>
      <c r="X16" s="6">
        <f t="shared" si="11"/>
        <v>0</v>
      </c>
      <c r="Y16" s="18"/>
    </row>
    <row r="17" spans="1:25" ht="68" customHeight="1" x14ac:dyDescent="0.35">
      <c r="A17" s="6"/>
      <c r="B17" s="75"/>
      <c r="C17" s="6"/>
      <c r="D17" s="63" t="s">
        <v>94</v>
      </c>
      <c r="E17" s="25" t="s">
        <v>95</v>
      </c>
      <c r="F17" s="75"/>
      <c r="G17" s="25"/>
      <c r="H17" s="6" t="s">
        <v>71</v>
      </c>
      <c r="I17" s="24"/>
      <c r="J17" s="60">
        <v>1050</v>
      </c>
      <c r="L17" s="6" t="s">
        <v>67</v>
      </c>
      <c r="M17" s="6">
        <f t="shared" si="0"/>
        <v>0</v>
      </c>
      <c r="N17" s="6">
        <f t="shared" si="12"/>
        <v>0</v>
      </c>
      <c r="O17" s="6">
        <f t="shared" si="13"/>
        <v>0</v>
      </c>
      <c r="P17" s="6">
        <f t="shared" si="14"/>
        <v>1</v>
      </c>
      <c r="Q17" s="19"/>
      <c r="R17" s="6"/>
      <c r="T17" s="6" t="s">
        <v>66</v>
      </c>
      <c r="U17" s="6">
        <f t="shared" si="8"/>
        <v>0</v>
      </c>
      <c r="V17" s="6">
        <f t="shared" si="9"/>
        <v>0</v>
      </c>
      <c r="W17" s="6">
        <f t="shared" si="10"/>
        <v>1</v>
      </c>
      <c r="X17" s="6">
        <f t="shared" si="11"/>
        <v>0</v>
      </c>
      <c r="Y17" s="18"/>
    </row>
    <row r="18" spans="1:25" ht="68" customHeight="1" x14ac:dyDescent="0.35">
      <c r="A18" s="6"/>
      <c r="B18" s="75"/>
      <c r="C18" s="6"/>
      <c r="D18" s="129" t="s">
        <v>96</v>
      </c>
      <c r="E18" s="5" t="s">
        <v>97</v>
      </c>
      <c r="F18" s="75"/>
      <c r="G18" s="25"/>
      <c r="H18" s="6" t="s">
        <v>88</v>
      </c>
      <c r="I18" s="24"/>
      <c r="J18" s="60">
        <v>85</v>
      </c>
      <c r="L18" s="6" t="s">
        <v>67</v>
      </c>
      <c r="M18" s="6">
        <f t="shared" si="0"/>
        <v>0</v>
      </c>
      <c r="N18" s="6">
        <f t="shared" si="12"/>
        <v>0</v>
      </c>
      <c r="O18" s="6">
        <f t="shared" si="13"/>
        <v>0</v>
      </c>
      <c r="P18" s="6">
        <f t="shared" si="14"/>
        <v>1</v>
      </c>
      <c r="Q18" s="19"/>
      <c r="R18" s="6"/>
      <c r="T18" s="6" t="s">
        <v>66</v>
      </c>
      <c r="U18" s="6">
        <f t="shared" si="8"/>
        <v>0</v>
      </c>
      <c r="V18" s="6">
        <f t="shared" si="9"/>
        <v>0</v>
      </c>
      <c r="W18" s="6">
        <f t="shared" si="10"/>
        <v>1</v>
      </c>
      <c r="X18" s="6">
        <f t="shared" si="11"/>
        <v>0</v>
      </c>
      <c r="Y18" s="18"/>
    </row>
    <row r="19" spans="1:25" ht="68" customHeight="1" x14ac:dyDescent="0.35">
      <c r="A19" s="6"/>
      <c r="B19" s="75"/>
      <c r="C19" s="6"/>
      <c r="D19" s="132"/>
      <c r="E19" s="5" t="s">
        <v>98</v>
      </c>
      <c r="F19" s="75"/>
      <c r="G19" s="25"/>
      <c r="H19" s="6" t="s">
        <v>88</v>
      </c>
      <c r="I19" s="24"/>
      <c r="J19" s="60">
        <v>60</v>
      </c>
      <c r="L19" s="6" t="s">
        <v>67</v>
      </c>
      <c r="M19" s="6">
        <f t="shared" si="0"/>
        <v>0</v>
      </c>
      <c r="N19" s="6">
        <f t="shared" si="12"/>
        <v>0</v>
      </c>
      <c r="O19" s="6">
        <f t="shared" si="13"/>
        <v>0</v>
      </c>
      <c r="P19" s="6">
        <f t="shared" si="14"/>
        <v>1</v>
      </c>
      <c r="Q19" s="19"/>
      <c r="R19" s="6"/>
      <c r="T19" s="6" t="s">
        <v>66</v>
      </c>
      <c r="U19" s="6">
        <f t="shared" si="8"/>
        <v>0</v>
      </c>
      <c r="V19" s="6">
        <f t="shared" si="9"/>
        <v>0</v>
      </c>
      <c r="W19" s="6">
        <f t="shared" si="10"/>
        <v>1</v>
      </c>
      <c r="X19" s="6">
        <f t="shared" si="11"/>
        <v>0</v>
      </c>
      <c r="Y19" s="18"/>
    </row>
    <row r="20" spans="1:25" ht="68" customHeight="1" x14ac:dyDescent="0.35">
      <c r="A20" s="6"/>
      <c r="B20" s="75"/>
      <c r="C20" s="31" t="s">
        <v>99</v>
      </c>
      <c r="D20" s="91"/>
      <c r="E20" s="5"/>
      <c r="F20" s="75"/>
      <c r="G20" s="25"/>
      <c r="H20" s="6"/>
      <c r="I20" s="24"/>
      <c r="J20" s="60"/>
      <c r="L20" s="6"/>
      <c r="M20" s="6"/>
      <c r="N20" s="6"/>
      <c r="O20" s="6"/>
      <c r="P20" s="6"/>
      <c r="Q20" s="19"/>
      <c r="R20" s="6"/>
      <c r="T20" s="6"/>
      <c r="U20" s="6"/>
      <c r="V20" s="6"/>
      <c r="W20" s="6"/>
      <c r="X20" s="6"/>
      <c r="Y20" s="18"/>
    </row>
    <row r="21" spans="1:25" ht="68" customHeight="1" x14ac:dyDescent="0.35">
      <c r="A21" s="6"/>
      <c r="B21" s="75"/>
      <c r="C21" s="6"/>
      <c r="D21" s="127" t="s">
        <v>100</v>
      </c>
      <c r="E21" s="98" t="s">
        <v>95</v>
      </c>
      <c r="F21" s="75"/>
      <c r="G21" s="25"/>
      <c r="H21" s="6" t="s">
        <v>81</v>
      </c>
      <c r="I21" s="24"/>
      <c r="J21" s="60">
        <v>7</v>
      </c>
      <c r="L21" s="6" t="s">
        <v>67</v>
      </c>
      <c r="M21" s="6">
        <f t="shared" si="0"/>
        <v>0</v>
      </c>
      <c r="N21" s="6">
        <f t="shared" si="12"/>
        <v>0</v>
      </c>
      <c r="O21" s="6">
        <f t="shared" si="13"/>
        <v>0</v>
      </c>
      <c r="P21" s="6">
        <f t="shared" si="14"/>
        <v>1</v>
      </c>
      <c r="Q21" s="19"/>
      <c r="R21" s="6"/>
      <c r="T21" s="6" t="s">
        <v>66</v>
      </c>
      <c r="U21" s="6">
        <f t="shared" si="8"/>
        <v>0</v>
      </c>
      <c r="V21" s="6">
        <f t="shared" si="9"/>
        <v>0</v>
      </c>
      <c r="W21" s="6">
        <f t="shared" si="10"/>
        <v>1</v>
      </c>
      <c r="X21" s="6">
        <f t="shared" si="11"/>
        <v>0</v>
      </c>
      <c r="Y21" s="18"/>
    </row>
    <row r="22" spans="1:25" ht="68" customHeight="1" x14ac:dyDescent="0.35">
      <c r="A22" s="6"/>
      <c r="B22" s="75"/>
      <c r="C22" s="6"/>
      <c r="D22" s="128"/>
      <c r="E22" s="18" t="s">
        <v>102</v>
      </c>
      <c r="F22" s="75"/>
      <c r="G22" s="25"/>
      <c r="H22" s="6" t="s">
        <v>81</v>
      </c>
      <c r="I22" s="24"/>
      <c r="J22" s="60">
        <v>7</v>
      </c>
      <c r="L22" s="6" t="s">
        <v>67</v>
      </c>
      <c r="M22" s="6">
        <f t="shared" si="0"/>
        <v>0</v>
      </c>
      <c r="N22" s="6">
        <f t="shared" si="12"/>
        <v>0</v>
      </c>
      <c r="O22" s="6">
        <f t="shared" si="13"/>
        <v>0</v>
      </c>
      <c r="P22" s="6">
        <f t="shared" si="14"/>
        <v>1</v>
      </c>
      <c r="Q22" s="19"/>
      <c r="R22" s="6"/>
      <c r="T22" s="6" t="s">
        <v>66</v>
      </c>
      <c r="U22" s="6">
        <f t="shared" si="8"/>
        <v>0</v>
      </c>
      <c r="V22" s="6">
        <f t="shared" si="9"/>
        <v>0</v>
      </c>
      <c r="W22" s="6">
        <f t="shared" si="10"/>
        <v>1</v>
      </c>
      <c r="X22" s="6">
        <f t="shared" si="11"/>
        <v>0</v>
      </c>
      <c r="Y22" s="18"/>
    </row>
    <row r="23" spans="1:25" ht="68" customHeight="1" x14ac:dyDescent="0.35">
      <c r="A23" s="6"/>
      <c r="B23" s="75"/>
      <c r="C23" s="6"/>
      <c r="D23" s="127" t="s">
        <v>104</v>
      </c>
      <c r="E23" s="18" t="s">
        <v>101</v>
      </c>
      <c r="F23" s="75"/>
      <c r="G23" s="25"/>
      <c r="H23" s="6" t="s">
        <v>83</v>
      </c>
      <c r="I23" s="24"/>
      <c r="J23" s="60">
        <v>3.7</v>
      </c>
      <c r="L23" s="6" t="s">
        <v>67</v>
      </c>
      <c r="M23" s="6">
        <f t="shared" si="0"/>
        <v>0</v>
      </c>
      <c r="N23" s="6">
        <f t="shared" si="12"/>
        <v>0</v>
      </c>
      <c r="O23" s="6">
        <f t="shared" si="13"/>
        <v>0</v>
      </c>
      <c r="P23" s="6">
        <f t="shared" si="14"/>
        <v>1</v>
      </c>
      <c r="Q23" s="19"/>
      <c r="R23" s="6"/>
      <c r="T23" s="6" t="s">
        <v>66</v>
      </c>
      <c r="U23" s="6">
        <f t="shared" si="8"/>
        <v>0</v>
      </c>
      <c r="V23" s="6">
        <f t="shared" si="9"/>
        <v>0</v>
      </c>
      <c r="W23" s="6">
        <f t="shared" si="10"/>
        <v>1</v>
      </c>
      <c r="X23" s="6">
        <f t="shared" si="11"/>
        <v>0</v>
      </c>
      <c r="Y23" s="18"/>
    </row>
    <row r="24" spans="1:25" ht="68" customHeight="1" x14ac:dyDescent="0.35">
      <c r="A24" s="6"/>
      <c r="B24" s="75"/>
      <c r="C24" s="6"/>
      <c r="D24" s="131"/>
      <c r="E24" s="97" t="s">
        <v>103</v>
      </c>
      <c r="F24" s="75"/>
      <c r="G24" s="25"/>
      <c r="H24" s="6" t="s">
        <v>83</v>
      </c>
      <c r="I24" s="24"/>
      <c r="J24" s="60">
        <v>3.7</v>
      </c>
      <c r="L24" s="6" t="s">
        <v>67</v>
      </c>
      <c r="M24" s="6">
        <f t="shared" si="0"/>
        <v>0</v>
      </c>
      <c r="N24" s="6">
        <f t="shared" si="12"/>
        <v>0</v>
      </c>
      <c r="O24" s="6">
        <f t="shared" si="13"/>
        <v>0</v>
      </c>
      <c r="P24" s="6">
        <f t="shared" si="14"/>
        <v>1</v>
      </c>
      <c r="Q24" s="19"/>
      <c r="R24" s="6"/>
      <c r="T24" s="6" t="s">
        <v>66</v>
      </c>
      <c r="U24" s="6">
        <f t="shared" si="8"/>
        <v>0</v>
      </c>
      <c r="V24" s="6">
        <f t="shared" si="9"/>
        <v>0</v>
      </c>
      <c r="W24" s="6">
        <f t="shared" si="10"/>
        <v>1</v>
      </c>
      <c r="X24" s="6">
        <f t="shared" si="11"/>
        <v>0</v>
      </c>
      <c r="Y24" s="18"/>
    </row>
    <row r="25" spans="1:25" ht="68" customHeight="1" x14ac:dyDescent="0.35">
      <c r="A25" s="6"/>
      <c r="B25" s="75"/>
      <c r="C25" s="6"/>
      <c r="D25" s="127" t="s">
        <v>105</v>
      </c>
      <c r="E25" s="18" t="s">
        <v>106</v>
      </c>
      <c r="F25" s="75"/>
      <c r="G25" s="25"/>
      <c r="H25" s="6" t="s">
        <v>69</v>
      </c>
      <c r="I25" s="24"/>
      <c r="J25" s="60" t="s">
        <v>252</v>
      </c>
      <c r="L25" s="6" t="s">
        <v>67</v>
      </c>
      <c r="M25" s="6">
        <f t="shared" si="0"/>
        <v>0</v>
      </c>
      <c r="N25" s="6">
        <f t="shared" si="12"/>
        <v>0</v>
      </c>
      <c r="O25" s="6">
        <f t="shared" si="13"/>
        <v>0</v>
      </c>
      <c r="P25" s="6">
        <f t="shared" si="14"/>
        <v>1</v>
      </c>
      <c r="Q25" s="19"/>
      <c r="R25" s="6"/>
      <c r="T25" s="6" t="s">
        <v>66</v>
      </c>
      <c r="U25" s="6">
        <f t="shared" si="8"/>
        <v>0</v>
      </c>
      <c r="V25" s="6">
        <f t="shared" si="9"/>
        <v>0</v>
      </c>
      <c r="W25" s="6">
        <f t="shared" si="10"/>
        <v>1</v>
      </c>
      <c r="X25" s="6">
        <f t="shared" si="11"/>
        <v>0</v>
      </c>
      <c r="Y25" s="18"/>
    </row>
    <row r="26" spans="1:25" ht="68" customHeight="1" x14ac:dyDescent="0.35">
      <c r="A26" s="6"/>
      <c r="B26" s="75"/>
      <c r="C26" s="6"/>
      <c r="D26" s="128"/>
      <c r="E26" s="97" t="s">
        <v>107</v>
      </c>
      <c r="F26" s="75"/>
      <c r="G26" s="25"/>
      <c r="H26" s="6" t="s">
        <v>69</v>
      </c>
      <c r="I26" s="24"/>
      <c r="J26" s="60" t="s">
        <v>251</v>
      </c>
      <c r="L26" s="6" t="s">
        <v>67</v>
      </c>
      <c r="M26" s="6">
        <f t="shared" si="0"/>
        <v>0</v>
      </c>
      <c r="N26" s="6">
        <f t="shared" si="12"/>
        <v>0</v>
      </c>
      <c r="O26" s="6">
        <f t="shared" si="13"/>
        <v>0</v>
      </c>
      <c r="P26" s="6">
        <f t="shared" si="14"/>
        <v>1</v>
      </c>
      <c r="Q26" s="19"/>
      <c r="R26" s="6"/>
      <c r="T26" s="6" t="s">
        <v>66</v>
      </c>
      <c r="U26" s="6">
        <f t="shared" si="8"/>
        <v>0</v>
      </c>
      <c r="V26" s="6">
        <f t="shared" si="9"/>
        <v>0</v>
      </c>
      <c r="W26" s="6">
        <f t="shared" si="10"/>
        <v>1</v>
      </c>
      <c r="X26" s="6">
        <f t="shared" si="11"/>
        <v>0</v>
      </c>
      <c r="Y26" s="18"/>
    </row>
    <row r="27" spans="1:25" ht="68" customHeight="1" x14ac:dyDescent="0.35">
      <c r="A27" s="6"/>
      <c r="B27" s="75"/>
      <c r="C27" s="6"/>
      <c r="D27" s="67" t="s">
        <v>108</v>
      </c>
      <c r="E27" s="18" t="s">
        <v>103</v>
      </c>
      <c r="F27" s="75"/>
      <c r="G27" s="25"/>
      <c r="H27" s="6" t="s">
        <v>81</v>
      </c>
      <c r="I27" s="24"/>
      <c r="J27" s="60">
        <v>7</v>
      </c>
      <c r="L27" s="6" t="s">
        <v>67</v>
      </c>
      <c r="M27" s="6">
        <f t="shared" si="0"/>
        <v>0</v>
      </c>
      <c r="N27" s="6">
        <f t="shared" si="12"/>
        <v>0</v>
      </c>
      <c r="O27" s="6">
        <f t="shared" si="13"/>
        <v>0</v>
      </c>
      <c r="P27" s="6">
        <f t="shared" si="14"/>
        <v>1</v>
      </c>
      <c r="Q27" s="19"/>
      <c r="R27" s="6"/>
      <c r="T27" s="6" t="s">
        <v>66</v>
      </c>
      <c r="U27" s="6">
        <f t="shared" si="8"/>
        <v>0</v>
      </c>
      <c r="V27" s="6">
        <f t="shared" si="9"/>
        <v>0</v>
      </c>
      <c r="W27" s="6">
        <f t="shared" si="10"/>
        <v>1</v>
      </c>
      <c r="X27" s="6">
        <f t="shared" si="11"/>
        <v>0</v>
      </c>
      <c r="Y27" s="18"/>
    </row>
    <row r="28" spans="1:25" ht="68" customHeight="1" x14ac:dyDescent="0.35">
      <c r="A28" s="6"/>
      <c r="B28" s="75"/>
      <c r="C28" s="6"/>
      <c r="D28" s="67" t="s">
        <v>109</v>
      </c>
      <c r="E28" s="18" t="s">
        <v>103</v>
      </c>
      <c r="F28" s="75"/>
      <c r="G28" s="25"/>
      <c r="H28" s="6" t="s">
        <v>81</v>
      </c>
      <c r="I28" s="24"/>
      <c r="J28" s="60">
        <v>7</v>
      </c>
      <c r="L28" s="6" t="s">
        <v>67</v>
      </c>
      <c r="M28" s="6">
        <f t="shared" si="0"/>
        <v>0</v>
      </c>
      <c r="N28" s="6">
        <f t="shared" si="12"/>
        <v>0</v>
      </c>
      <c r="O28" s="6">
        <f t="shared" si="13"/>
        <v>0</v>
      </c>
      <c r="P28" s="6">
        <f t="shared" si="14"/>
        <v>1</v>
      </c>
      <c r="Q28" s="19"/>
      <c r="R28" s="6"/>
      <c r="T28" s="6" t="s">
        <v>66</v>
      </c>
      <c r="U28" s="6">
        <f t="shared" si="8"/>
        <v>0</v>
      </c>
      <c r="V28" s="6">
        <f t="shared" si="9"/>
        <v>0</v>
      </c>
      <c r="W28" s="6">
        <f t="shared" si="10"/>
        <v>1</v>
      </c>
      <c r="X28" s="6">
        <f t="shared" si="11"/>
        <v>0</v>
      </c>
      <c r="Y28" s="18"/>
    </row>
    <row r="29" spans="1:25" ht="68" customHeight="1" x14ac:dyDescent="0.35">
      <c r="A29" s="6"/>
      <c r="B29" s="75"/>
      <c r="C29" s="6"/>
      <c r="D29" s="67" t="s">
        <v>110</v>
      </c>
      <c r="E29" s="18" t="s">
        <v>103</v>
      </c>
      <c r="F29" s="75"/>
      <c r="G29" s="25"/>
      <c r="H29" s="6" t="s">
        <v>81</v>
      </c>
      <c r="I29" s="24"/>
      <c r="J29" s="60">
        <v>7</v>
      </c>
      <c r="L29" s="6" t="s">
        <v>67</v>
      </c>
      <c r="M29" s="6">
        <f t="shared" si="0"/>
        <v>0</v>
      </c>
      <c r="N29" s="6">
        <f t="shared" si="12"/>
        <v>0</v>
      </c>
      <c r="O29" s="6">
        <f t="shared" si="13"/>
        <v>0</v>
      </c>
      <c r="P29" s="6">
        <f t="shared" si="14"/>
        <v>1</v>
      </c>
      <c r="Q29" s="19"/>
      <c r="R29" s="6"/>
      <c r="T29" s="6" t="s">
        <v>66</v>
      </c>
      <c r="U29" s="6">
        <f t="shared" si="8"/>
        <v>0</v>
      </c>
      <c r="V29" s="6">
        <f t="shared" si="9"/>
        <v>0</v>
      </c>
      <c r="W29" s="6">
        <f t="shared" si="10"/>
        <v>1</v>
      </c>
      <c r="X29" s="6">
        <f t="shared" si="11"/>
        <v>0</v>
      </c>
      <c r="Y29" s="18"/>
    </row>
    <row r="30" spans="1:25" ht="68" customHeight="1" x14ac:dyDescent="0.35">
      <c r="A30" s="6"/>
      <c r="B30" s="75"/>
      <c r="C30" s="6"/>
      <c r="D30" s="127" t="s">
        <v>111</v>
      </c>
      <c r="E30" s="18" t="s">
        <v>103</v>
      </c>
      <c r="F30" s="75"/>
      <c r="G30" s="25"/>
      <c r="H30" s="6" t="s">
        <v>88</v>
      </c>
      <c r="I30" s="24"/>
      <c r="J30" s="60">
        <v>85</v>
      </c>
      <c r="L30" s="6" t="s">
        <v>67</v>
      </c>
      <c r="M30" s="6">
        <f t="shared" si="0"/>
        <v>0</v>
      </c>
      <c r="N30" s="6">
        <f t="shared" si="12"/>
        <v>0</v>
      </c>
      <c r="O30" s="6">
        <f t="shared" si="13"/>
        <v>0</v>
      </c>
      <c r="P30" s="6">
        <f t="shared" si="14"/>
        <v>1</v>
      </c>
      <c r="Q30" s="19"/>
      <c r="R30" s="6"/>
      <c r="T30" s="6" t="s">
        <v>66</v>
      </c>
      <c r="U30" s="6">
        <f t="shared" si="8"/>
        <v>0</v>
      </c>
      <c r="V30" s="6">
        <f t="shared" si="9"/>
        <v>0</v>
      </c>
      <c r="W30" s="6">
        <f t="shared" si="10"/>
        <v>1</v>
      </c>
      <c r="X30" s="6">
        <f t="shared" si="11"/>
        <v>0</v>
      </c>
      <c r="Y30" s="18"/>
    </row>
    <row r="31" spans="1:25" ht="68" customHeight="1" x14ac:dyDescent="0.35">
      <c r="A31" s="6"/>
      <c r="B31" s="75"/>
      <c r="C31" s="6"/>
      <c r="D31" s="128"/>
      <c r="E31" s="18" t="s">
        <v>112</v>
      </c>
      <c r="F31" s="75"/>
      <c r="G31" s="25"/>
      <c r="H31" s="6" t="s">
        <v>88</v>
      </c>
      <c r="I31" s="24"/>
      <c r="J31" s="60">
        <v>65</v>
      </c>
      <c r="L31" s="6" t="s">
        <v>67</v>
      </c>
      <c r="M31" s="6">
        <f t="shared" si="0"/>
        <v>0</v>
      </c>
      <c r="N31" s="6">
        <f t="shared" si="12"/>
        <v>0</v>
      </c>
      <c r="O31" s="6">
        <f t="shared" si="13"/>
        <v>0</v>
      </c>
      <c r="P31" s="6">
        <f t="shared" si="14"/>
        <v>1</v>
      </c>
      <c r="Q31" s="19"/>
      <c r="R31" s="6"/>
      <c r="T31" s="6" t="s">
        <v>66</v>
      </c>
      <c r="U31" s="6">
        <f t="shared" ref="U31:U44" si="15">COUNTIFS(T31,"R")</f>
        <v>0</v>
      </c>
      <c r="V31" s="6">
        <f t="shared" ref="V31:V44" si="16">COUNTIFS(T31,"Y")</f>
        <v>0</v>
      </c>
      <c r="W31" s="6">
        <f t="shared" ref="W31:W44" si="17">COUNTIFS(T31,"G")</f>
        <v>1</v>
      </c>
      <c r="X31" s="6">
        <f t="shared" ref="X31:X44" si="18">COUNTIFS(T31,"B")</f>
        <v>0</v>
      </c>
      <c r="Y31" s="18"/>
    </row>
    <row r="32" spans="1:25" ht="68" customHeight="1" x14ac:dyDescent="0.35">
      <c r="A32" s="6"/>
      <c r="B32" s="75"/>
      <c r="C32" s="6"/>
      <c r="D32" s="127" t="s">
        <v>113</v>
      </c>
      <c r="E32" s="18" t="s">
        <v>90</v>
      </c>
      <c r="F32" s="75"/>
      <c r="G32" s="25"/>
      <c r="H32" s="6" t="s">
        <v>81</v>
      </c>
      <c r="I32" s="24"/>
      <c r="J32" s="60" t="s">
        <v>253</v>
      </c>
      <c r="L32" s="6" t="s">
        <v>67</v>
      </c>
      <c r="M32" s="6">
        <f t="shared" si="0"/>
        <v>0</v>
      </c>
      <c r="N32" s="6">
        <f t="shared" si="12"/>
        <v>0</v>
      </c>
      <c r="O32" s="6">
        <f t="shared" si="13"/>
        <v>0</v>
      </c>
      <c r="P32" s="6">
        <f t="shared" si="14"/>
        <v>1</v>
      </c>
      <c r="Q32" s="19"/>
      <c r="R32" s="6"/>
      <c r="T32" s="6" t="s">
        <v>66</v>
      </c>
      <c r="U32" s="6">
        <f t="shared" si="15"/>
        <v>0</v>
      </c>
      <c r="V32" s="6">
        <f t="shared" si="16"/>
        <v>0</v>
      </c>
      <c r="W32" s="6">
        <f t="shared" si="17"/>
        <v>1</v>
      </c>
      <c r="X32" s="6">
        <f t="shared" si="18"/>
        <v>0</v>
      </c>
      <c r="Y32" s="18"/>
    </row>
    <row r="33" spans="1:25" ht="68" customHeight="1" x14ac:dyDescent="0.35">
      <c r="A33" s="6"/>
      <c r="B33" s="75"/>
      <c r="C33" s="6"/>
      <c r="D33" s="128"/>
      <c r="E33" s="18" t="s">
        <v>91</v>
      </c>
      <c r="F33" s="75"/>
      <c r="G33" s="25"/>
      <c r="H33" s="6" t="s">
        <v>81</v>
      </c>
      <c r="I33" s="24"/>
      <c r="J33" s="60" t="s">
        <v>254</v>
      </c>
      <c r="L33" s="6" t="s">
        <v>67</v>
      </c>
      <c r="M33" s="6">
        <f t="shared" si="0"/>
        <v>0</v>
      </c>
      <c r="N33" s="6">
        <f t="shared" si="12"/>
        <v>0</v>
      </c>
      <c r="O33" s="6">
        <f t="shared" si="13"/>
        <v>0</v>
      </c>
      <c r="P33" s="6">
        <f t="shared" si="14"/>
        <v>1</v>
      </c>
      <c r="Q33" s="19"/>
      <c r="R33" s="6"/>
      <c r="T33" s="6" t="s">
        <v>66</v>
      </c>
      <c r="U33" s="6">
        <f t="shared" si="15"/>
        <v>0</v>
      </c>
      <c r="V33" s="6">
        <f t="shared" si="16"/>
        <v>0</v>
      </c>
      <c r="W33" s="6">
        <f t="shared" si="17"/>
        <v>1</v>
      </c>
      <c r="X33" s="6">
        <f t="shared" si="18"/>
        <v>0</v>
      </c>
      <c r="Y33" s="18"/>
    </row>
    <row r="34" spans="1:25" ht="68" customHeight="1" x14ac:dyDescent="0.35">
      <c r="A34" s="6"/>
      <c r="B34" s="75"/>
      <c r="C34" s="6"/>
      <c r="D34" s="127" t="s">
        <v>114</v>
      </c>
      <c r="E34" s="18" t="s">
        <v>93</v>
      </c>
      <c r="F34" s="75"/>
      <c r="G34" s="25"/>
      <c r="H34" s="6" t="s">
        <v>83</v>
      </c>
      <c r="I34" s="24"/>
      <c r="J34" s="60" t="s">
        <v>254</v>
      </c>
      <c r="L34" s="6" t="s">
        <v>67</v>
      </c>
      <c r="M34" s="6">
        <f t="shared" si="0"/>
        <v>0</v>
      </c>
      <c r="N34" s="6">
        <f t="shared" si="12"/>
        <v>0</v>
      </c>
      <c r="O34" s="6">
        <f t="shared" si="13"/>
        <v>0</v>
      </c>
      <c r="P34" s="6">
        <f t="shared" si="14"/>
        <v>1</v>
      </c>
      <c r="Q34" s="19"/>
      <c r="R34" s="6"/>
      <c r="T34" s="6" t="s">
        <v>66</v>
      </c>
      <c r="U34" s="6">
        <f t="shared" si="15"/>
        <v>0</v>
      </c>
      <c r="V34" s="6">
        <f t="shared" si="16"/>
        <v>0</v>
      </c>
      <c r="W34" s="6">
        <f t="shared" si="17"/>
        <v>1</v>
      </c>
      <c r="X34" s="6">
        <f t="shared" si="18"/>
        <v>0</v>
      </c>
      <c r="Y34" s="18"/>
    </row>
    <row r="35" spans="1:25" ht="68" customHeight="1" x14ac:dyDescent="0.35">
      <c r="A35" s="6"/>
      <c r="B35" s="75"/>
      <c r="C35" s="6"/>
      <c r="D35" s="128"/>
      <c r="E35" s="18" t="s">
        <v>91</v>
      </c>
      <c r="F35" s="75"/>
      <c r="G35" s="25"/>
      <c r="H35" s="6" t="s">
        <v>83</v>
      </c>
      <c r="I35" s="24"/>
      <c r="J35" s="60" t="s">
        <v>255</v>
      </c>
      <c r="L35" s="6" t="s">
        <v>67</v>
      </c>
      <c r="M35" s="6">
        <f t="shared" si="0"/>
        <v>0</v>
      </c>
      <c r="N35" s="6">
        <f t="shared" si="12"/>
        <v>0</v>
      </c>
      <c r="O35" s="6">
        <f t="shared" si="13"/>
        <v>0</v>
      </c>
      <c r="P35" s="6">
        <f t="shared" si="14"/>
        <v>1</v>
      </c>
      <c r="Q35" s="19"/>
      <c r="R35" s="6"/>
      <c r="T35" s="6" t="s">
        <v>66</v>
      </c>
      <c r="U35" s="6">
        <f t="shared" si="15"/>
        <v>0</v>
      </c>
      <c r="V35" s="6">
        <f t="shared" si="16"/>
        <v>0</v>
      </c>
      <c r="W35" s="6">
        <f t="shared" si="17"/>
        <v>1</v>
      </c>
      <c r="X35" s="6">
        <f t="shared" si="18"/>
        <v>0</v>
      </c>
      <c r="Y35" s="18"/>
    </row>
    <row r="36" spans="1:25" ht="68" customHeight="1" x14ac:dyDescent="0.35">
      <c r="A36" s="6"/>
      <c r="B36" s="75"/>
      <c r="C36" s="6"/>
      <c r="D36" s="92" t="s">
        <v>115</v>
      </c>
      <c r="E36" s="18" t="s">
        <v>103</v>
      </c>
      <c r="F36" s="75"/>
      <c r="G36" s="25"/>
      <c r="H36" s="6" t="s">
        <v>71</v>
      </c>
      <c r="I36" s="24"/>
      <c r="J36" s="60" t="s">
        <v>256</v>
      </c>
      <c r="L36" s="6" t="s">
        <v>67</v>
      </c>
      <c r="M36" s="6">
        <f t="shared" si="0"/>
        <v>0</v>
      </c>
      <c r="N36" s="6">
        <f t="shared" si="12"/>
        <v>0</v>
      </c>
      <c r="O36" s="6">
        <f t="shared" si="13"/>
        <v>0</v>
      </c>
      <c r="P36" s="6">
        <f t="shared" si="14"/>
        <v>1</v>
      </c>
      <c r="Q36" s="19"/>
      <c r="R36" s="6"/>
      <c r="T36" s="6" t="s">
        <v>66</v>
      </c>
      <c r="U36" s="6">
        <f t="shared" si="15"/>
        <v>0</v>
      </c>
      <c r="V36" s="6">
        <f t="shared" si="16"/>
        <v>0</v>
      </c>
      <c r="W36" s="6">
        <f t="shared" si="17"/>
        <v>1</v>
      </c>
      <c r="X36" s="6">
        <f t="shared" si="18"/>
        <v>0</v>
      </c>
      <c r="Y36" s="18"/>
    </row>
    <row r="37" spans="1:25" ht="68" customHeight="1" x14ac:dyDescent="0.35">
      <c r="A37" s="6"/>
      <c r="B37" s="75"/>
      <c r="C37" s="6"/>
      <c r="D37" s="127" t="s">
        <v>116</v>
      </c>
      <c r="E37" s="18" t="s">
        <v>97</v>
      </c>
      <c r="F37" s="75"/>
      <c r="G37" s="25"/>
      <c r="H37" s="6" t="s">
        <v>88</v>
      </c>
      <c r="I37" s="24"/>
      <c r="J37" s="60" t="s">
        <v>257</v>
      </c>
      <c r="L37" s="6" t="s">
        <v>67</v>
      </c>
      <c r="M37" s="6">
        <f t="shared" si="0"/>
        <v>0</v>
      </c>
      <c r="N37" s="6">
        <f t="shared" si="12"/>
        <v>0</v>
      </c>
      <c r="O37" s="6">
        <f t="shared" si="13"/>
        <v>0</v>
      </c>
      <c r="P37" s="6">
        <f t="shared" si="14"/>
        <v>1</v>
      </c>
      <c r="Q37" s="19"/>
      <c r="R37" s="6"/>
      <c r="T37" s="6" t="s">
        <v>66</v>
      </c>
      <c r="U37" s="6">
        <f t="shared" si="15"/>
        <v>0</v>
      </c>
      <c r="V37" s="6">
        <f t="shared" si="16"/>
        <v>0</v>
      </c>
      <c r="W37" s="6">
        <f t="shared" si="17"/>
        <v>1</v>
      </c>
      <c r="X37" s="6">
        <f t="shared" si="18"/>
        <v>0</v>
      </c>
      <c r="Y37" s="18"/>
    </row>
    <row r="38" spans="1:25" ht="68" customHeight="1" x14ac:dyDescent="0.35">
      <c r="A38" s="6"/>
      <c r="B38" s="75"/>
      <c r="C38" s="6"/>
      <c r="D38" s="128"/>
      <c r="E38" s="18" t="s">
        <v>98</v>
      </c>
      <c r="F38" s="75"/>
      <c r="G38" s="25"/>
      <c r="H38" s="6" t="s">
        <v>88</v>
      </c>
      <c r="I38" s="24"/>
      <c r="J38" s="60" t="s">
        <v>258</v>
      </c>
      <c r="L38" s="6" t="s">
        <v>67</v>
      </c>
      <c r="M38" s="6">
        <f t="shared" si="0"/>
        <v>0</v>
      </c>
      <c r="N38" s="6">
        <f t="shared" si="12"/>
        <v>0</v>
      </c>
      <c r="O38" s="6">
        <f t="shared" si="13"/>
        <v>0</v>
      </c>
      <c r="P38" s="6">
        <f t="shared" si="14"/>
        <v>1</v>
      </c>
      <c r="Q38" s="19"/>
      <c r="R38" s="6"/>
      <c r="T38" s="6" t="s">
        <v>66</v>
      </c>
      <c r="U38" s="6">
        <f t="shared" si="15"/>
        <v>0</v>
      </c>
      <c r="V38" s="6">
        <f t="shared" si="16"/>
        <v>0</v>
      </c>
      <c r="W38" s="6">
        <f t="shared" si="17"/>
        <v>1</v>
      </c>
      <c r="X38" s="6">
        <f t="shared" si="18"/>
        <v>0</v>
      </c>
      <c r="Y38" s="18"/>
    </row>
    <row r="39" spans="1:25" ht="68" customHeight="1" x14ac:dyDescent="0.35">
      <c r="A39" s="6"/>
      <c r="B39" s="75"/>
      <c r="C39" s="31" t="s">
        <v>117</v>
      </c>
      <c r="D39" s="127" t="s">
        <v>100</v>
      </c>
      <c r="E39" s="18" t="s">
        <v>103</v>
      </c>
      <c r="F39" s="75"/>
      <c r="G39" s="25"/>
      <c r="H39" s="6" t="s">
        <v>81</v>
      </c>
      <c r="I39" s="24"/>
      <c r="J39" s="60">
        <v>7</v>
      </c>
      <c r="L39" s="6" t="s">
        <v>67</v>
      </c>
      <c r="M39" s="6">
        <f t="shared" si="0"/>
        <v>0</v>
      </c>
      <c r="N39" s="6">
        <f t="shared" si="12"/>
        <v>0</v>
      </c>
      <c r="O39" s="6">
        <f t="shared" si="13"/>
        <v>0</v>
      </c>
      <c r="P39" s="6">
        <f t="shared" si="14"/>
        <v>1</v>
      </c>
      <c r="Q39" s="19"/>
      <c r="R39" s="6"/>
      <c r="T39" s="6" t="s">
        <v>66</v>
      </c>
      <c r="U39" s="6">
        <f t="shared" si="15"/>
        <v>0</v>
      </c>
      <c r="V39" s="6">
        <f t="shared" si="16"/>
        <v>0</v>
      </c>
      <c r="W39" s="6">
        <f t="shared" si="17"/>
        <v>1</v>
      </c>
      <c r="X39" s="6">
        <f t="shared" si="18"/>
        <v>0</v>
      </c>
      <c r="Y39" s="18"/>
    </row>
    <row r="40" spans="1:25" ht="68" customHeight="1" x14ac:dyDescent="0.35">
      <c r="A40" s="6"/>
      <c r="B40" s="75"/>
      <c r="C40" s="6"/>
      <c r="D40" s="131"/>
      <c r="E40" s="18" t="s">
        <v>118</v>
      </c>
      <c r="F40" s="75"/>
      <c r="G40" s="25"/>
      <c r="H40" s="6" t="s">
        <v>81</v>
      </c>
      <c r="I40" s="24"/>
      <c r="J40" s="60">
        <v>7</v>
      </c>
      <c r="L40" s="6" t="s">
        <v>67</v>
      </c>
      <c r="M40" s="6">
        <f t="shared" si="0"/>
        <v>0</v>
      </c>
      <c r="N40" s="6">
        <f t="shared" ref="N40:N41" si="19">COUNTIFS(L40,"Y")</f>
        <v>0</v>
      </c>
      <c r="O40" s="6">
        <f t="shared" ref="O40:O41" si="20">COUNTIFS(L40,"G")</f>
        <v>0</v>
      </c>
      <c r="P40" s="6">
        <f t="shared" ref="P40:P41" si="21">COUNTIFS(L40,"B")</f>
        <v>1</v>
      </c>
      <c r="Q40" s="19"/>
      <c r="R40" s="6"/>
      <c r="T40" s="6" t="s">
        <v>66</v>
      </c>
      <c r="U40" s="6">
        <f t="shared" si="15"/>
        <v>0</v>
      </c>
      <c r="V40" s="6">
        <f t="shared" si="16"/>
        <v>0</v>
      </c>
      <c r="W40" s="6">
        <f t="shared" si="17"/>
        <v>1</v>
      </c>
      <c r="X40" s="6">
        <f t="shared" si="18"/>
        <v>0</v>
      </c>
      <c r="Y40" s="18"/>
    </row>
    <row r="41" spans="1:25" ht="68" customHeight="1" x14ac:dyDescent="0.35">
      <c r="A41" s="6"/>
      <c r="B41" s="75"/>
      <c r="C41" s="6"/>
      <c r="D41" s="128"/>
      <c r="E41" s="18" t="s">
        <v>102</v>
      </c>
      <c r="F41" s="75"/>
      <c r="G41" s="25"/>
      <c r="H41" s="6" t="s">
        <v>81</v>
      </c>
      <c r="I41" s="24"/>
      <c r="J41" s="60">
        <v>7</v>
      </c>
      <c r="L41" s="6" t="s">
        <v>67</v>
      </c>
      <c r="M41" s="6">
        <f t="shared" si="0"/>
        <v>0</v>
      </c>
      <c r="N41" s="6">
        <f t="shared" si="19"/>
        <v>0</v>
      </c>
      <c r="O41" s="6">
        <f t="shared" si="20"/>
        <v>0</v>
      </c>
      <c r="P41" s="6">
        <f t="shared" si="21"/>
        <v>1</v>
      </c>
      <c r="Q41" s="19"/>
      <c r="R41" s="6"/>
      <c r="T41" s="6" t="s">
        <v>66</v>
      </c>
      <c r="U41" s="6">
        <f t="shared" si="15"/>
        <v>0</v>
      </c>
      <c r="V41" s="6">
        <f t="shared" si="16"/>
        <v>0</v>
      </c>
      <c r="W41" s="6">
        <f t="shared" si="17"/>
        <v>1</v>
      </c>
      <c r="X41" s="6">
        <f t="shared" si="18"/>
        <v>0</v>
      </c>
      <c r="Y41" s="18"/>
    </row>
    <row r="42" spans="1:25" ht="68" customHeight="1" x14ac:dyDescent="0.35">
      <c r="A42" s="6"/>
      <c r="B42" s="75"/>
      <c r="C42" s="6"/>
      <c r="D42" s="127" t="s">
        <v>104</v>
      </c>
      <c r="E42" s="18" t="s">
        <v>103</v>
      </c>
      <c r="F42" s="75"/>
      <c r="G42" s="25"/>
      <c r="H42" s="6" t="s">
        <v>83</v>
      </c>
      <c r="I42" s="24"/>
      <c r="J42" s="60">
        <v>3.7</v>
      </c>
      <c r="L42" s="6" t="s">
        <v>67</v>
      </c>
      <c r="M42" s="6">
        <f t="shared" si="0"/>
        <v>0</v>
      </c>
      <c r="N42" s="6">
        <f t="shared" ref="N42:N44" si="22">COUNTIFS(L42,"Y")</f>
        <v>0</v>
      </c>
      <c r="O42" s="6">
        <f t="shared" ref="O42:O44" si="23">COUNTIFS(L42,"G")</f>
        <v>0</v>
      </c>
      <c r="P42" s="6">
        <f t="shared" ref="P42:P44" si="24">COUNTIFS(L42,"B")</f>
        <v>1</v>
      </c>
      <c r="Q42" s="19"/>
      <c r="R42" s="6"/>
      <c r="T42" s="6" t="s">
        <v>66</v>
      </c>
      <c r="U42" s="6">
        <f t="shared" si="15"/>
        <v>0</v>
      </c>
      <c r="V42" s="6">
        <f t="shared" si="16"/>
        <v>0</v>
      </c>
      <c r="W42" s="6">
        <f t="shared" si="17"/>
        <v>1</v>
      </c>
      <c r="X42" s="6">
        <f t="shared" si="18"/>
        <v>0</v>
      </c>
      <c r="Y42" s="18"/>
    </row>
    <row r="43" spans="1:25" ht="68" customHeight="1" x14ac:dyDescent="0.35">
      <c r="A43" s="6"/>
      <c r="B43" s="75"/>
      <c r="C43" s="6"/>
      <c r="D43" s="131"/>
      <c r="E43" s="18" t="s">
        <v>118</v>
      </c>
      <c r="F43" s="75"/>
      <c r="G43" s="25"/>
      <c r="H43" s="6" t="s">
        <v>83</v>
      </c>
      <c r="I43" s="24"/>
      <c r="J43" s="60">
        <v>3.7</v>
      </c>
      <c r="L43" s="6" t="s">
        <v>67</v>
      </c>
      <c r="M43" s="6">
        <f t="shared" si="0"/>
        <v>0</v>
      </c>
      <c r="N43" s="6">
        <f t="shared" si="22"/>
        <v>0</v>
      </c>
      <c r="O43" s="6">
        <f t="shared" si="23"/>
        <v>0</v>
      </c>
      <c r="P43" s="6">
        <f t="shared" si="24"/>
        <v>1</v>
      </c>
      <c r="Q43" s="19"/>
      <c r="R43" s="6"/>
      <c r="T43" s="6" t="s">
        <v>66</v>
      </c>
      <c r="U43" s="6">
        <f t="shared" si="15"/>
        <v>0</v>
      </c>
      <c r="V43" s="6">
        <f t="shared" si="16"/>
        <v>0</v>
      </c>
      <c r="W43" s="6">
        <f t="shared" si="17"/>
        <v>1</v>
      </c>
      <c r="X43" s="6">
        <f t="shared" si="18"/>
        <v>0</v>
      </c>
      <c r="Y43" s="18"/>
    </row>
    <row r="44" spans="1:25" ht="68" customHeight="1" x14ac:dyDescent="0.35">
      <c r="A44" s="6"/>
      <c r="B44" s="75"/>
      <c r="C44" s="6"/>
      <c r="D44" s="131"/>
      <c r="E44" s="18" t="s">
        <v>102</v>
      </c>
      <c r="F44" s="75"/>
      <c r="G44" s="25"/>
      <c r="H44" s="6" t="s">
        <v>83</v>
      </c>
      <c r="I44" s="24"/>
      <c r="J44" s="60">
        <v>3.7</v>
      </c>
      <c r="L44" s="6" t="s">
        <v>67</v>
      </c>
      <c r="M44" s="6">
        <f t="shared" si="0"/>
        <v>0</v>
      </c>
      <c r="N44" s="6">
        <f t="shared" si="22"/>
        <v>0</v>
      </c>
      <c r="O44" s="6">
        <f t="shared" si="23"/>
        <v>0</v>
      </c>
      <c r="P44" s="6">
        <f t="shared" si="24"/>
        <v>1</v>
      </c>
      <c r="Q44" s="19"/>
      <c r="R44" s="6"/>
      <c r="T44" s="6" t="s">
        <v>66</v>
      </c>
      <c r="U44" s="6">
        <f t="shared" si="15"/>
        <v>0</v>
      </c>
      <c r="V44" s="6">
        <f t="shared" si="16"/>
        <v>0</v>
      </c>
      <c r="W44" s="6">
        <f t="shared" si="17"/>
        <v>1</v>
      </c>
      <c r="X44" s="6">
        <f t="shared" si="18"/>
        <v>0</v>
      </c>
      <c r="Y44" s="18"/>
    </row>
    <row r="45" spans="1:25" ht="68" customHeight="1" x14ac:dyDescent="0.35">
      <c r="A45" s="6"/>
      <c r="B45" s="75"/>
      <c r="C45" s="6"/>
      <c r="D45" s="127" t="s">
        <v>105</v>
      </c>
      <c r="E45" s="18" t="s">
        <v>106</v>
      </c>
      <c r="F45" s="75"/>
      <c r="H45" s="6" t="s">
        <v>69</v>
      </c>
      <c r="I45" s="24"/>
      <c r="J45" s="19" t="s">
        <v>252</v>
      </c>
      <c r="L45" s="6" t="s">
        <v>67</v>
      </c>
      <c r="M45" s="6">
        <f>COUNTIFS(L45,"R")</f>
        <v>0</v>
      </c>
      <c r="N45" s="6">
        <f>COUNTIFS(L45,"Y")</f>
        <v>0</v>
      </c>
      <c r="O45" s="6">
        <f>COUNTIFS(L45,"G")</f>
        <v>0</v>
      </c>
      <c r="P45" s="6">
        <f>COUNTIFS(L45,"B")</f>
        <v>1</v>
      </c>
      <c r="Q45" s="19"/>
      <c r="R45" s="6" t="s">
        <v>20</v>
      </c>
      <c r="T45" s="6" t="s">
        <v>66</v>
      </c>
      <c r="U45" s="6">
        <f>COUNTIFS(T45,"R")</f>
        <v>0</v>
      </c>
      <c r="V45" s="6">
        <f>COUNTIFS(T45,"Y")</f>
        <v>0</v>
      </c>
      <c r="W45" s="6">
        <f>COUNTIFS(T45,"G")</f>
        <v>1</v>
      </c>
      <c r="X45" s="6">
        <f>COUNTIFS(T45,"B")</f>
        <v>0</v>
      </c>
      <c r="Y45" s="18"/>
    </row>
    <row r="46" spans="1:25" ht="68" customHeight="1" x14ac:dyDescent="0.35">
      <c r="A46" s="6"/>
      <c r="B46" s="75"/>
      <c r="C46" s="6"/>
      <c r="D46" s="128"/>
      <c r="E46" s="18" t="s">
        <v>103</v>
      </c>
      <c r="F46" s="75"/>
      <c r="H46" s="6" t="s">
        <v>69</v>
      </c>
      <c r="I46" s="24"/>
      <c r="J46" s="19" t="s">
        <v>251</v>
      </c>
      <c r="L46" s="6" t="s">
        <v>67</v>
      </c>
      <c r="M46" s="6">
        <f t="shared" ref="M46:M74" si="25">COUNTIFS(L46,"R")</f>
        <v>0</v>
      </c>
      <c r="N46" s="6">
        <f t="shared" ref="N46:N74" si="26">COUNTIFS(L46,"Y")</f>
        <v>0</v>
      </c>
      <c r="O46" s="6">
        <f t="shared" ref="O46:O74" si="27">COUNTIFS(L46,"G")</f>
        <v>0</v>
      </c>
      <c r="P46" s="6">
        <f t="shared" ref="P46:P74" si="28">COUNTIFS(L46,"B")</f>
        <v>1</v>
      </c>
      <c r="Q46" s="19"/>
      <c r="R46" s="6"/>
      <c r="T46" s="6" t="s">
        <v>66</v>
      </c>
      <c r="U46" s="6">
        <f t="shared" ref="U46:U74" si="29">COUNTIFS(T46,"R")</f>
        <v>0</v>
      </c>
      <c r="V46" s="6">
        <f t="shared" ref="V46:V74" si="30">COUNTIFS(T46,"Y")</f>
        <v>0</v>
      </c>
      <c r="W46" s="6">
        <f t="shared" ref="W46:W74" si="31">COUNTIFS(T46,"G")</f>
        <v>1</v>
      </c>
      <c r="X46" s="6">
        <f t="shared" ref="X46:X74" si="32">COUNTIFS(T46,"B")</f>
        <v>0</v>
      </c>
      <c r="Y46" s="18"/>
    </row>
    <row r="47" spans="1:25" ht="68" customHeight="1" x14ac:dyDescent="0.35">
      <c r="A47" s="6"/>
      <c r="B47" s="75"/>
      <c r="C47" s="6"/>
      <c r="D47" s="67" t="s">
        <v>108</v>
      </c>
      <c r="E47" s="18" t="s">
        <v>103</v>
      </c>
      <c r="F47" s="75"/>
      <c r="H47" s="6" t="s">
        <v>81</v>
      </c>
      <c r="I47" s="24"/>
      <c r="J47" s="19">
        <v>7</v>
      </c>
      <c r="L47" s="6" t="s">
        <v>67</v>
      </c>
      <c r="M47" s="6">
        <f t="shared" si="25"/>
        <v>0</v>
      </c>
      <c r="N47" s="6">
        <f t="shared" si="26"/>
        <v>0</v>
      </c>
      <c r="O47" s="6">
        <f t="shared" si="27"/>
        <v>0</v>
      </c>
      <c r="P47" s="6">
        <f t="shared" si="28"/>
        <v>1</v>
      </c>
      <c r="Q47" s="19"/>
      <c r="R47" s="6"/>
      <c r="T47" s="6" t="s">
        <v>66</v>
      </c>
      <c r="U47" s="6">
        <f t="shared" si="29"/>
        <v>0</v>
      </c>
      <c r="V47" s="6">
        <f t="shared" si="30"/>
        <v>0</v>
      </c>
      <c r="W47" s="6">
        <f t="shared" si="31"/>
        <v>1</v>
      </c>
      <c r="X47" s="6">
        <f t="shared" si="32"/>
        <v>0</v>
      </c>
      <c r="Y47" s="18"/>
    </row>
    <row r="48" spans="1:25" ht="68" customHeight="1" x14ac:dyDescent="0.35">
      <c r="A48" s="6"/>
      <c r="B48" s="75"/>
      <c r="C48" s="6"/>
      <c r="D48" s="67" t="s">
        <v>109</v>
      </c>
      <c r="E48" s="18" t="s">
        <v>103</v>
      </c>
      <c r="F48" s="75"/>
      <c r="H48" s="6" t="s">
        <v>81</v>
      </c>
      <c r="I48" s="24"/>
      <c r="J48" s="19">
        <v>7</v>
      </c>
      <c r="L48" s="6" t="s">
        <v>67</v>
      </c>
      <c r="M48" s="6">
        <f t="shared" si="25"/>
        <v>0</v>
      </c>
      <c r="N48" s="6">
        <f t="shared" si="26"/>
        <v>0</v>
      </c>
      <c r="O48" s="6">
        <f t="shared" si="27"/>
        <v>0</v>
      </c>
      <c r="P48" s="6">
        <f t="shared" si="28"/>
        <v>1</v>
      </c>
      <c r="Q48" s="19"/>
      <c r="R48" s="6"/>
      <c r="T48" s="6" t="s">
        <v>66</v>
      </c>
      <c r="U48" s="6">
        <f t="shared" si="29"/>
        <v>0</v>
      </c>
      <c r="V48" s="6">
        <f t="shared" si="30"/>
        <v>0</v>
      </c>
      <c r="W48" s="6">
        <f t="shared" si="31"/>
        <v>1</v>
      </c>
      <c r="X48" s="6">
        <f t="shared" si="32"/>
        <v>0</v>
      </c>
      <c r="Y48" s="18"/>
    </row>
    <row r="49" spans="1:25" ht="68" customHeight="1" x14ac:dyDescent="0.35">
      <c r="A49" s="6"/>
      <c r="B49" s="75"/>
      <c r="C49" s="6"/>
      <c r="D49" s="67" t="s">
        <v>110</v>
      </c>
      <c r="E49" s="18" t="s">
        <v>103</v>
      </c>
      <c r="F49" s="75"/>
      <c r="H49" s="6" t="s">
        <v>81</v>
      </c>
      <c r="I49" s="24"/>
      <c r="J49" s="19">
        <v>7</v>
      </c>
      <c r="L49" s="6" t="s">
        <v>67</v>
      </c>
      <c r="M49" s="6">
        <f t="shared" si="25"/>
        <v>0</v>
      </c>
      <c r="N49" s="6">
        <f t="shared" si="26"/>
        <v>0</v>
      </c>
      <c r="O49" s="6">
        <f t="shared" si="27"/>
        <v>0</v>
      </c>
      <c r="P49" s="6">
        <f t="shared" si="28"/>
        <v>1</v>
      </c>
      <c r="Q49" s="19"/>
      <c r="R49" s="6"/>
      <c r="T49" s="6" t="s">
        <v>66</v>
      </c>
      <c r="U49" s="6">
        <f t="shared" si="29"/>
        <v>0</v>
      </c>
      <c r="V49" s="6">
        <f t="shared" si="30"/>
        <v>0</v>
      </c>
      <c r="W49" s="6">
        <f t="shared" si="31"/>
        <v>1</v>
      </c>
      <c r="X49" s="6">
        <f t="shared" si="32"/>
        <v>0</v>
      </c>
      <c r="Y49" s="18"/>
    </row>
    <row r="50" spans="1:25" ht="68" customHeight="1" x14ac:dyDescent="0.35">
      <c r="A50" s="6"/>
      <c r="B50" s="75"/>
      <c r="C50" s="6"/>
      <c r="D50" s="127" t="s">
        <v>111</v>
      </c>
      <c r="E50" s="18" t="s">
        <v>103</v>
      </c>
      <c r="F50" s="75"/>
      <c r="H50" s="6" t="s">
        <v>88</v>
      </c>
      <c r="I50" s="24"/>
      <c r="J50" s="19">
        <v>85</v>
      </c>
      <c r="L50" s="6" t="s">
        <v>67</v>
      </c>
      <c r="M50" s="6">
        <f t="shared" si="25"/>
        <v>0</v>
      </c>
      <c r="N50" s="6">
        <f t="shared" si="26"/>
        <v>0</v>
      </c>
      <c r="O50" s="6">
        <f t="shared" si="27"/>
        <v>0</v>
      </c>
      <c r="P50" s="6">
        <f t="shared" si="28"/>
        <v>1</v>
      </c>
      <c r="Q50" s="19"/>
      <c r="R50" s="6"/>
      <c r="T50" s="6" t="s">
        <v>66</v>
      </c>
      <c r="U50" s="6">
        <f t="shared" si="29"/>
        <v>0</v>
      </c>
      <c r="V50" s="6">
        <f t="shared" si="30"/>
        <v>0</v>
      </c>
      <c r="W50" s="6">
        <f t="shared" si="31"/>
        <v>1</v>
      </c>
      <c r="X50" s="6">
        <f t="shared" si="32"/>
        <v>0</v>
      </c>
      <c r="Y50" s="18"/>
    </row>
    <row r="51" spans="1:25" ht="68" customHeight="1" x14ac:dyDescent="0.35">
      <c r="A51" s="6"/>
      <c r="B51" s="75"/>
      <c r="C51" s="6"/>
      <c r="D51" s="128"/>
      <c r="E51" s="18" t="s">
        <v>118</v>
      </c>
      <c r="F51" s="75"/>
      <c r="H51" s="6" t="s">
        <v>88</v>
      </c>
      <c r="I51" s="24"/>
      <c r="J51" s="19">
        <v>65</v>
      </c>
      <c r="L51" s="6" t="s">
        <v>67</v>
      </c>
      <c r="M51" s="6">
        <f t="shared" si="25"/>
        <v>0</v>
      </c>
      <c r="N51" s="6">
        <f t="shared" si="26"/>
        <v>0</v>
      </c>
      <c r="O51" s="6">
        <f t="shared" si="27"/>
        <v>0</v>
      </c>
      <c r="P51" s="6">
        <f t="shared" si="28"/>
        <v>1</v>
      </c>
      <c r="Q51" s="19"/>
      <c r="R51" s="6"/>
      <c r="T51" s="6" t="s">
        <v>66</v>
      </c>
      <c r="U51" s="6">
        <f t="shared" si="29"/>
        <v>0</v>
      </c>
      <c r="V51" s="6">
        <f t="shared" si="30"/>
        <v>0</v>
      </c>
      <c r="W51" s="6">
        <f t="shared" si="31"/>
        <v>1</v>
      </c>
      <c r="X51" s="6">
        <f t="shared" si="32"/>
        <v>0</v>
      </c>
      <c r="Y51" s="18"/>
    </row>
    <row r="52" spans="1:25" ht="68" customHeight="1" x14ac:dyDescent="0.35">
      <c r="A52" s="6"/>
      <c r="B52" s="75"/>
      <c r="C52" s="6"/>
      <c r="D52" s="127" t="s">
        <v>113</v>
      </c>
      <c r="E52" s="18" t="s">
        <v>90</v>
      </c>
      <c r="F52" s="75"/>
      <c r="H52" s="6" t="s">
        <v>81</v>
      </c>
      <c r="I52" s="24"/>
      <c r="J52" s="19" t="s">
        <v>253</v>
      </c>
      <c r="L52" s="6" t="s">
        <v>67</v>
      </c>
      <c r="M52" s="6">
        <f t="shared" si="25"/>
        <v>0</v>
      </c>
      <c r="N52" s="6">
        <f t="shared" si="26"/>
        <v>0</v>
      </c>
      <c r="O52" s="6">
        <f t="shared" si="27"/>
        <v>0</v>
      </c>
      <c r="P52" s="6">
        <f t="shared" si="28"/>
        <v>1</v>
      </c>
      <c r="Q52" s="19"/>
      <c r="R52" s="6"/>
      <c r="T52" s="6" t="s">
        <v>66</v>
      </c>
      <c r="U52" s="6">
        <f t="shared" si="29"/>
        <v>0</v>
      </c>
      <c r="V52" s="6">
        <f t="shared" si="30"/>
        <v>0</v>
      </c>
      <c r="W52" s="6">
        <f t="shared" si="31"/>
        <v>1</v>
      </c>
      <c r="X52" s="6">
        <f t="shared" si="32"/>
        <v>0</v>
      </c>
      <c r="Y52" s="18"/>
    </row>
    <row r="53" spans="1:25" ht="68" customHeight="1" x14ac:dyDescent="0.35">
      <c r="A53" s="6"/>
      <c r="B53" s="75"/>
      <c r="C53" s="6"/>
      <c r="D53" s="128"/>
      <c r="E53" s="18" t="s">
        <v>91</v>
      </c>
      <c r="F53" s="75"/>
      <c r="H53" s="6" t="s">
        <v>81</v>
      </c>
      <c r="I53" s="24"/>
      <c r="J53" s="19" t="s">
        <v>254</v>
      </c>
      <c r="L53" s="6" t="s">
        <v>67</v>
      </c>
      <c r="M53" s="6">
        <f t="shared" si="25"/>
        <v>0</v>
      </c>
      <c r="N53" s="6">
        <f t="shared" si="26"/>
        <v>0</v>
      </c>
      <c r="O53" s="6">
        <f t="shared" si="27"/>
        <v>0</v>
      </c>
      <c r="P53" s="6">
        <f t="shared" si="28"/>
        <v>1</v>
      </c>
      <c r="Q53" s="19"/>
      <c r="R53" s="6"/>
      <c r="T53" s="6" t="s">
        <v>66</v>
      </c>
      <c r="U53" s="6">
        <f t="shared" si="29"/>
        <v>0</v>
      </c>
      <c r="V53" s="6">
        <f t="shared" si="30"/>
        <v>0</v>
      </c>
      <c r="W53" s="6">
        <f t="shared" si="31"/>
        <v>1</v>
      </c>
      <c r="X53" s="6">
        <f t="shared" si="32"/>
        <v>0</v>
      </c>
      <c r="Y53" s="18"/>
    </row>
    <row r="54" spans="1:25" ht="68" customHeight="1" x14ac:dyDescent="0.35">
      <c r="A54" s="6"/>
      <c r="B54" s="75"/>
      <c r="C54" s="6"/>
      <c r="D54" s="127" t="s">
        <v>114</v>
      </c>
      <c r="E54" s="18" t="s">
        <v>93</v>
      </c>
      <c r="F54" s="75"/>
      <c r="H54" s="6" t="s">
        <v>83</v>
      </c>
      <c r="I54" s="24"/>
      <c r="J54" s="19" t="s">
        <v>254</v>
      </c>
      <c r="L54" s="6" t="s">
        <v>67</v>
      </c>
      <c r="M54" s="6">
        <f t="shared" si="25"/>
        <v>0</v>
      </c>
      <c r="N54" s="6">
        <f t="shared" si="26"/>
        <v>0</v>
      </c>
      <c r="O54" s="6">
        <f t="shared" si="27"/>
        <v>0</v>
      </c>
      <c r="P54" s="6">
        <f t="shared" si="28"/>
        <v>1</v>
      </c>
      <c r="Q54" s="19"/>
      <c r="R54" s="6"/>
      <c r="T54" s="6" t="s">
        <v>66</v>
      </c>
      <c r="U54" s="6">
        <f t="shared" si="29"/>
        <v>0</v>
      </c>
      <c r="V54" s="6">
        <f t="shared" si="30"/>
        <v>0</v>
      </c>
      <c r="W54" s="6">
        <f t="shared" si="31"/>
        <v>1</v>
      </c>
      <c r="X54" s="6">
        <f t="shared" si="32"/>
        <v>0</v>
      </c>
      <c r="Y54" s="18"/>
    </row>
    <row r="55" spans="1:25" ht="68" customHeight="1" x14ac:dyDescent="0.35">
      <c r="A55" s="6"/>
      <c r="B55" s="75"/>
      <c r="C55" s="6"/>
      <c r="D55" s="128"/>
      <c r="E55" s="18" t="s">
        <v>91</v>
      </c>
      <c r="F55" s="75"/>
      <c r="H55" s="6" t="s">
        <v>119</v>
      </c>
      <c r="I55" s="24"/>
      <c r="J55" s="19" t="s">
        <v>255</v>
      </c>
      <c r="L55" s="6" t="s">
        <v>67</v>
      </c>
      <c r="M55" s="6">
        <f t="shared" si="25"/>
        <v>0</v>
      </c>
      <c r="N55" s="6">
        <f t="shared" si="26"/>
        <v>0</v>
      </c>
      <c r="O55" s="6">
        <f t="shared" si="27"/>
        <v>0</v>
      </c>
      <c r="P55" s="6">
        <f t="shared" si="28"/>
        <v>1</v>
      </c>
      <c r="Q55" s="19"/>
      <c r="R55" s="6"/>
      <c r="T55" s="6" t="s">
        <v>66</v>
      </c>
      <c r="U55" s="6">
        <f t="shared" si="29"/>
        <v>0</v>
      </c>
      <c r="V55" s="6">
        <f t="shared" si="30"/>
        <v>0</v>
      </c>
      <c r="W55" s="6">
        <f t="shared" si="31"/>
        <v>1</v>
      </c>
      <c r="X55" s="6">
        <f t="shared" si="32"/>
        <v>0</v>
      </c>
      <c r="Y55" s="18"/>
    </row>
    <row r="56" spans="1:25" ht="68" customHeight="1" x14ac:dyDescent="0.35">
      <c r="A56" s="6"/>
      <c r="B56" s="75"/>
      <c r="C56" s="6"/>
      <c r="D56" s="67" t="s">
        <v>115</v>
      </c>
      <c r="E56" s="18" t="s">
        <v>103</v>
      </c>
      <c r="F56" s="75"/>
      <c r="H56" s="6" t="s">
        <v>71</v>
      </c>
      <c r="I56" s="24"/>
      <c r="J56" s="19" t="s">
        <v>256</v>
      </c>
      <c r="L56" s="6" t="s">
        <v>67</v>
      </c>
      <c r="M56" s="6">
        <f t="shared" si="25"/>
        <v>0</v>
      </c>
      <c r="N56" s="6">
        <f t="shared" si="26"/>
        <v>0</v>
      </c>
      <c r="O56" s="6">
        <f t="shared" si="27"/>
        <v>0</v>
      </c>
      <c r="P56" s="6">
        <f t="shared" si="28"/>
        <v>1</v>
      </c>
      <c r="Q56" s="19"/>
      <c r="R56" s="6"/>
      <c r="T56" s="6" t="s">
        <v>66</v>
      </c>
      <c r="U56" s="6">
        <f t="shared" si="29"/>
        <v>0</v>
      </c>
      <c r="V56" s="6">
        <f t="shared" si="30"/>
        <v>0</v>
      </c>
      <c r="W56" s="6">
        <f t="shared" si="31"/>
        <v>1</v>
      </c>
      <c r="X56" s="6">
        <f t="shared" si="32"/>
        <v>0</v>
      </c>
      <c r="Y56" s="18"/>
    </row>
    <row r="57" spans="1:25" ht="68" customHeight="1" x14ac:dyDescent="0.35">
      <c r="A57" s="6"/>
      <c r="B57" s="75"/>
      <c r="C57" s="6"/>
      <c r="D57" s="127" t="s">
        <v>116</v>
      </c>
      <c r="E57" s="18" t="s">
        <v>97</v>
      </c>
      <c r="F57" s="75"/>
      <c r="H57" s="6" t="s">
        <v>88</v>
      </c>
      <c r="I57" s="24"/>
      <c r="J57" s="19" t="s">
        <v>257</v>
      </c>
      <c r="L57" s="6" t="s">
        <v>67</v>
      </c>
      <c r="M57" s="6">
        <f t="shared" si="25"/>
        <v>0</v>
      </c>
      <c r="N57" s="6">
        <f t="shared" si="26"/>
        <v>0</v>
      </c>
      <c r="O57" s="6">
        <f t="shared" si="27"/>
        <v>0</v>
      </c>
      <c r="P57" s="6">
        <f t="shared" si="28"/>
        <v>1</v>
      </c>
      <c r="Q57" s="19"/>
      <c r="R57" s="6"/>
      <c r="T57" s="6" t="s">
        <v>66</v>
      </c>
      <c r="U57" s="6">
        <f t="shared" si="29"/>
        <v>0</v>
      </c>
      <c r="V57" s="6">
        <f t="shared" si="30"/>
        <v>0</v>
      </c>
      <c r="W57" s="6">
        <f t="shared" si="31"/>
        <v>1</v>
      </c>
      <c r="X57" s="6">
        <f t="shared" si="32"/>
        <v>0</v>
      </c>
      <c r="Y57" s="18"/>
    </row>
    <row r="58" spans="1:25" ht="68" customHeight="1" x14ac:dyDescent="0.35">
      <c r="A58" s="6"/>
      <c r="B58" s="75"/>
      <c r="C58" s="6"/>
      <c r="D58" s="128"/>
      <c r="E58" s="18" t="s">
        <v>98</v>
      </c>
      <c r="F58" s="75"/>
      <c r="H58" s="6" t="s">
        <v>88</v>
      </c>
      <c r="I58" s="24"/>
      <c r="J58" s="19" t="s">
        <v>258</v>
      </c>
      <c r="L58" s="6" t="s">
        <v>67</v>
      </c>
      <c r="M58" s="6">
        <f t="shared" si="25"/>
        <v>0</v>
      </c>
      <c r="N58" s="6">
        <f t="shared" si="26"/>
        <v>0</v>
      </c>
      <c r="O58" s="6">
        <f t="shared" si="27"/>
        <v>0</v>
      </c>
      <c r="P58" s="6">
        <f t="shared" si="28"/>
        <v>1</v>
      </c>
      <c r="Q58" s="19"/>
      <c r="R58" s="6"/>
      <c r="T58" s="6" t="s">
        <v>66</v>
      </c>
      <c r="U58" s="6">
        <f t="shared" si="29"/>
        <v>0</v>
      </c>
      <c r="V58" s="6">
        <f t="shared" si="30"/>
        <v>0</v>
      </c>
      <c r="W58" s="6">
        <f t="shared" si="31"/>
        <v>1</v>
      </c>
      <c r="X58" s="6">
        <f t="shared" si="32"/>
        <v>0</v>
      </c>
      <c r="Y58" s="18"/>
    </row>
    <row r="59" spans="1:25" ht="68" customHeight="1" x14ac:dyDescent="0.35">
      <c r="A59" s="6"/>
      <c r="B59" s="75"/>
      <c r="C59" s="6"/>
      <c r="D59" s="67" t="s">
        <v>260</v>
      </c>
      <c r="E59" s="18" t="s">
        <v>121</v>
      </c>
      <c r="F59" s="75"/>
      <c r="H59" s="6" t="s">
        <v>71</v>
      </c>
      <c r="I59" s="24"/>
      <c r="J59" s="19" t="s">
        <v>261</v>
      </c>
      <c r="L59" s="6" t="s">
        <v>67</v>
      </c>
      <c r="M59" s="6">
        <f t="shared" si="25"/>
        <v>0</v>
      </c>
      <c r="N59" s="6">
        <f t="shared" si="26"/>
        <v>0</v>
      </c>
      <c r="O59" s="6">
        <f t="shared" si="27"/>
        <v>0</v>
      </c>
      <c r="P59" s="6">
        <f t="shared" si="28"/>
        <v>1</v>
      </c>
      <c r="Q59" s="19"/>
      <c r="R59" s="6"/>
      <c r="T59" s="6" t="s">
        <v>66</v>
      </c>
      <c r="U59" s="6">
        <f t="shared" si="29"/>
        <v>0</v>
      </c>
      <c r="V59" s="6">
        <f t="shared" si="30"/>
        <v>0</v>
      </c>
      <c r="W59" s="6">
        <f t="shared" si="31"/>
        <v>1</v>
      </c>
      <c r="X59" s="6">
        <f t="shared" si="32"/>
        <v>0</v>
      </c>
      <c r="Y59" s="18"/>
    </row>
    <row r="60" spans="1:25" ht="68" customHeight="1" x14ac:dyDescent="0.35">
      <c r="A60" s="6"/>
      <c r="B60" s="75"/>
      <c r="C60" s="6"/>
      <c r="D60" s="127" t="s">
        <v>122</v>
      </c>
      <c r="E60" s="18" t="s">
        <v>123</v>
      </c>
      <c r="F60" s="75"/>
      <c r="H60" s="6" t="s">
        <v>88</v>
      </c>
      <c r="I60" s="24"/>
      <c r="J60" s="19" t="s">
        <v>257</v>
      </c>
      <c r="L60" s="6" t="s">
        <v>67</v>
      </c>
      <c r="M60" s="6">
        <f t="shared" si="25"/>
        <v>0</v>
      </c>
      <c r="N60" s="6">
        <f t="shared" si="26"/>
        <v>0</v>
      </c>
      <c r="O60" s="6">
        <f t="shared" si="27"/>
        <v>0</v>
      </c>
      <c r="P60" s="6">
        <f t="shared" si="28"/>
        <v>1</v>
      </c>
      <c r="Q60" s="19"/>
      <c r="R60" s="6"/>
      <c r="T60" s="6" t="s">
        <v>66</v>
      </c>
      <c r="U60" s="6">
        <f t="shared" si="29"/>
        <v>0</v>
      </c>
      <c r="V60" s="6">
        <f t="shared" si="30"/>
        <v>0</v>
      </c>
      <c r="W60" s="6">
        <f t="shared" si="31"/>
        <v>1</v>
      </c>
      <c r="X60" s="6">
        <f t="shared" si="32"/>
        <v>0</v>
      </c>
      <c r="Y60" s="18"/>
    </row>
    <row r="61" spans="1:25" ht="68" customHeight="1" x14ac:dyDescent="0.35">
      <c r="A61" s="6"/>
      <c r="B61" s="75"/>
      <c r="C61" s="6"/>
      <c r="D61" s="128"/>
      <c r="E61" s="18" t="s">
        <v>124</v>
      </c>
      <c r="F61" s="75"/>
      <c r="H61" s="6" t="s">
        <v>88</v>
      </c>
      <c r="I61" s="24"/>
      <c r="J61" s="19" t="s">
        <v>257</v>
      </c>
      <c r="L61" s="6" t="s">
        <v>67</v>
      </c>
      <c r="M61" s="6">
        <f t="shared" si="25"/>
        <v>0</v>
      </c>
      <c r="N61" s="6">
        <f t="shared" si="26"/>
        <v>0</v>
      </c>
      <c r="O61" s="6">
        <f t="shared" si="27"/>
        <v>0</v>
      </c>
      <c r="P61" s="6">
        <f t="shared" si="28"/>
        <v>1</v>
      </c>
      <c r="Q61" s="19"/>
      <c r="R61" s="6"/>
      <c r="T61" s="6" t="s">
        <v>66</v>
      </c>
      <c r="U61" s="6">
        <f t="shared" si="29"/>
        <v>0</v>
      </c>
      <c r="V61" s="6">
        <f t="shared" si="30"/>
        <v>0</v>
      </c>
      <c r="W61" s="6">
        <f t="shared" si="31"/>
        <v>1</v>
      </c>
      <c r="X61" s="6">
        <f t="shared" si="32"/>
        <v>0</v>
      </c>
      <c r="Y61" s="18"/>
    </row>
    <row r="62" spans="1:25" ht="68" customHeight="1" x14ac:dyDescent="0.35">
      <c r="A62" s="6"/>
      <c r="B62" s="75"/>
      <c r="C62" s="6"/>
      <c r="D62" s="67" t="s">
        <v>125</v>
      </c>
      <c r="E62" s="97" t="s">
        <v>127</v>
      </c>
      <c r="F62" s="75"/>
      <c r="H62" s="6" t="s">
        <v>69</v>
      </c>
      <c r="I62" s="24"/>
      <c r="J62" s="19">
        <v>5</v>
      </c>
      <c r="L62" s="6" t="s">
        <v>67</v>
      </c>
      <c r="M62" s="6">
        <f t="shared" si="25"/>
        <v>0</v>
      </c>
      <c r="N62" s="6">
        <f t="shared" si="26"/>
        <v>0</v>
      </c>
      <c r="O62" s="6">
        <f t="shared" si="27"/>
        <v>0</v>
      </c>
      <c r="P62" s="6">
        <f t="shared" si="28"/>
        <v>1</v>
      </c>
      <c r="Q62" s="19"/>
      <c r="R62" s="6"/>
      <c r="T62" s="6" t="s">
        <v>66</v>
      </c>
      <c r="U62" s="6">
        <f t="shared" si="29"/>
        <v>0</v>
      </c>
      <c r="V62" s="6">
        <f t="shared" si="30"/>
        <v>0</v>
      </c>
      <c r="W62" s="6">
        <f t="shared" si="31"/>
        <v>1</v>
      </c>
      <c r="X62" s="6">
        <f t="shared" si="32"/>
        <v>0</v>
      </c>
      <c r="Y62" s="18"/>
    </row>
    <row r="63" spans="1:25" ht="68" customHeight="1" x14ac:dyDescent="0.35">
      <c r="A63" s="6"/>
      <c r="B63" s="75"/>
      <c r="C63" s="6"/>
      <c r="D63" s="127" t="s">
        <v>128</v>
      </c>
      <c r="E63" s="97" t="s">
        <v>126</v>
      </c>
      <c r="F63" s="75"/>
      <c r="H63" s="6" t="s">
        <v>129</v>
      </c>
      <c r="I63" s="24"/>
      <c r="J63" s="19">
        <v>65</v>
      </c>
      <c r="L63" s="6" t="s">
        <v>67</v>
      </c>
      <c r="M63" s="6">
        <f t="shared" si="25"/>
        <v>0</v>
      </c>
      <c r="N63" s="6">
        <f t="shared" si="26"/>
        <v>0</v>
      </c>
      <c r="O63" s="6">
        <f t="shared" si="27"/>
        <v>0</v>
      </c>
      <c r="P63" s="6">
        <f t="shared" si="28"/>
        <v>1</v>
      </c>
      <c r="Q63" s="19" t="s">
        <v>310</v>
      </c>
      <c r="R63" s="6"/>
      <c r="T63" s="6" t="s">
        <v>66</v>
      </c>
      <c r="U63" s="6">
        <f t="shared" si="29"/>
        <v>0</v>
      </c>
      <c r="V63" s="6">
        <f t="shared" si="30"/>
        <v>0</v>
      </c>
      <c r="W63" s="6">
        <f t="shared" si="31"/>
        <v>1</v>
      </c>
      <c r="X63" s="6">
        <f t="shared" si="32"/>
        <v>0</v>
      </c>
      <c r="Y63" s="18"/>
    </row>
    <row r="64" spans="1:25" ht="68" customHeight="1" x14ac:dyDescent="0.35">
      <c r="A64" s="6"/>
      <c r="B64" s="75"/>
      <c r="C64" s="6"/>
      <c r="D64" s="128"/>
      <c r="E64" s="18" t="s">
        <v>127</v>
      </c>
      <c r="F64" s="75"/>
      <c r="H64" s="6" t="s">
        <v>129</v>
      </c>
      <c r="I64" s="24"/>
      <c r="J64" s="19">
        <v>65</v>
      </c>
      <c r="L64" s="6" t="s">
        <v>67</v>
      </c>
      <c r="M64" s="6">
        <f t="shared" si="25"/>
        <v>0</v>
      </c>
      <c r="N64" s="6">
        <f t="shared" si="26"/>
        <v>0</v>
      </c>
      <c r="O64" s="6">
        <f t="shared" si="27"/>
        <v>0</v>
      </c>
      <c r="P64" s="6">
        <f t="shared" si="28"/>
        <v>1</v>
      </c>
      <c r="Q64" s="19"/>
      <c r="R64" s="6"/>
      <c r="T64" s="6" t="s">
        <v>66</v>
      </c>
      <c r="U64" s="6">
        <f t="shared" si="29"/>
        <v>0</v>
      </c>
      <c r="V64" s="6">
        <f t="shared" si="30"/>
        <v>0</v>
      </c>
      <c r="W64" s="6">
        <f t="shared" si="31"/>
        <v>1</v>
      </c>
      <c r="X64" s="6">
        <f t="shared" si="32"/>
        <v>0</v>
      </c>
      <c r="Y64" s="18"/>
    </row>
    <row r="65" spans="1:25" ht="68" customHeight="1" x14ac:dyDescent="0.35">
      <c r="A65" s="6"/>
      <c r="B65" s="75"/>
      <c r="C65" s="6"/>
      <c r="D65" s="127" t="s">
        <v>130</v>
      </c>
      <c r="E65" s="18" t="s">
        <v>126</v>
      </c>
      <c r="F65" s="75"/>
      <c r="H65" s="6" t="s">
        <v>81</v>
      </c>
      <c r="I65" s="24"/>
      <c r="J65" s="19" t="s">
        <v>246</v>
      </c>
      <c r="L65" s="6" t="s">
        <v>67</v>
      </c>
      <c r="M65" s="6">
        <f t="shared" si="25"/>
        <v>0</v>
      </c>
      <c r="N65" s="6">
        <f t="shared" si="26"/>
        <v>0</v>
      </c>
      <c r="O65" s="6">
        <f t="shared" si="27"/>
        <v>0</v>
      </c>
      <c r="P65" s="6">
        <f t="shared" si="28"/>
        <v>1</v>
      </c>
      <c r="Q65" s="19"/>
      <c r="R65" s="6"/>
      <c r="T65" s="6" t="s">
        <v>66</v>
      </c>
      <c r="U65" s="6">
        <f t="shared" si="29"/>
        <v>0</v>
      </c>
      <c r="V65" s="6">
        <f t="shared" si="30"/>
        <v>0</v>
      </c>
      <c r="W65" s="6">
        <f t="shared" si="31"/>
        <v>1</v>
      </c>
      <c r="X65" s="6">
        <f t="shared" si="32"/>
        <v>0</v>
      </c>
      <c r="Y65" s="18"/>
    </row>
    <row r="66" spans="1:25" ht="68" customHeight="1" x14ac:dyDescent="0.35">
      <c r="A66" s="6"/>
      <c r="B66" s="75"/>
      <c r="C66" s="6"/>
      <c r="D66" s="128"/>
      <c r="E66" s="18" t="s">
        <v>127</v>
      </c>
      <c r="F66" s="75"/>
      <c r="H66" s="6" t="s">
        <v>81</v>
      </c>
      <c r="I66" s="24"/>
      <c r="J66" s="19" t="s">
        <v>262</v>
      </c>
      <c r="L66" s="6" t="s">
        <v>67</v>
      </c>
      <c r="M66" s="6">
        <f t="shared" si="25"/>
        <v>0</v>
      </c>
      <c r="N66" s="6">
        <f t="shared" si="26"/>
        <v>0</v>
      </c>
      <c r="O66" s="6">
        <f t="shared" si="27"/>
        <v>0</v>
      </c>
      <c r="P66" s="6">
        <f t="shared" si="28"/>
        <v>1</v>
      </c>
      <c r="Q66" s="19"/>
      <c r="R66" s="6"/>
      <c r="T66" s="6" t="s">
        <v>66</v>
      </c>
      <c r="U66" s="6">
        <f t="shared" si="29"/>
        <v>0</v>
      </c>
      <c r="V66" s="6">
        <f t="shared" si="30"/>
        <v>0</v>
      </c>
      <c r="W66" s="6">
        <f t="shared" si="31"/>
        <v>1</v>
      </c>
      <c r="X66" s="6">
        <f t="shared" si="32"/>
        <v>0</v>
      </c>
      <c r="Y66" s="18"/>
    </row>
    <row r="67" spans="1:25" ht="68" customHeight="1" x14ac:dyDescent="0.35">
      <c r="A67" s="6"/>
      <c r="B67" s="75"/>
      <c r="C67" s="6"/>
      <c r="D67" s="127" t="s">
        <v>120</v>
      </c>
      <c r="E67" s="18" t="s">
        <v>126</v>
      </c>
      <c r="F67" s="75"/>
      <c r="H67" s="6" t="s">
        <v>83</v>
      </c>
      <c r="I67" s="24"/>
      <c r="J67" s="19" t="s">
        <v>259</v>
      </c>
      <c r="L67" s="6" t="s">
        <v>67</v>
      </c>
      <c r="M67" s="6">
        <f t="shared" si="25"/>
        <v>0</v>
      </c>
      <c r="N67" s="6">
        <f t="shared" si="26"/>
        <v>0</v>
      </c>
      <c r="O67" s="6">
        <f t="shared" si="27"/>
        <v>0</v>
      </c>
      <c r="P67" s="6">
        <f t="shared" si="28"/>
        <v>1</v>
      </c>
      <c r="Q67" s="19"/>
      <c r="R67" s="6"/>
      <c r="T67" s="6" t="s">
        <v>66</v>
      </c>
      <c r="U67" s="6">
        <f t="shared" si="29"/>
        <v>0</v>
      </c>
      <c r="V67" s="6">
        <f t="shared" si="30"/>
        <v>0</v>
      </c>
      <c r="W67" s="6">
        <f t="shared" si="31"/>
        <v>1</v>
      </c>
      <c r="X67" s="6">
        <f t="shared" si="32"/>
        <v>0</v>
      </c>
      <c r="Y67" s="18"/>
    </row>
    <row r="68" spans="1:25" ht="68" customHeight="1" x14ac:dyDescent="0.35">
      <c r="A68" s="6"/>
      <c r="B68" s="75"/>
      <c r="C68" s="6"/>
      <c r="D68" s="128"/>
      <c r="E68" s="18" t="s">
        <v>127</v>
      </c>
      <c r="F68" s="75"/>
      <c r="H68" s="6" t="s">
        <v>83</v>
      </c>
      <c r="I68" s="24"/>
      <c r="J68" s="19" t="s">
        <v>263</v>
      </c>
      <c r="L68" s="6" t="s">
        <v>67</v>
      </c>
      <c r="M68" s="6">
        <f t="shared" si="25"/>
        <v>0</v>
      </c>
      <c r="N68" s="6">
        <f t="shared" si="26"/>
        <v>0</v>
      </c>
      <c r="O68" s="6">
        <f t="shared" si="27"/>
        <v>0</v>
      </c>
      <c r="P68" s="6">
        <f t="shared" si="28"/>
        <v>1</v>
      </c>
      <c r="Q68" s="19"/>
      <c r="R68" s="6"/>
      <c r="T68" s="6" t="s">
        <v>66</v>
      </c>
      <c r="U68" s="6">
        <f t="shared" si="29"/>
        <v>0</v>
      </c>
      <c r="V68" s="6">
        <f t="shared" si="30"/>
        <v>0</v>
      </c>
      <c r="W68" s="6">
        <f t="shared" si="31"/>
        <v>1</v>
      </c>
      <c r="X68" s="6">
        <f t="shared" si="32"/>
        <v>0</v>
      </c>
      <c r="Y68" s="18"/>
    </row>
    <row r="69" spans="1:25" ht="68" customHeight="1" x14ac:dyDescent="0.35">
      <c r="A69" s="6"/>
      <c r="B69" s="75"/>
      <c r="C69" s="6"/>
      <c r="D69" s="127" t="s">
        <v>264</v>
      </c>
      <c r="E69" s="18" t="s">
        <v>126</v>
      </c>
      <c r="F69" s="75"/>
      <c r="H69" s="6" t="s">
        <v>71</v>
      </c>
      <c r="I69" s="24"/>
      <c r="J69" s="19" t="s">
        <v>256</v>
      </c>
      <c r="L69" s="6" t="s">
        <v>67</v>
      </c>
      <c r="M69" s="6">
        <f t="shared" si="25"/>
        <v>0</v>
      </c>
      <c r="N69" s="6">
        <f t="shared" si="26"/>
        <v>0</v>
      </c>
      <c r="O69" s="6">
        <f t="shared" si="27"/>
        <v>0</v>
      </c>
      <c r="P69" s="6">
        <f t="shared" si="28"/>
        <v>1</v>
      </c>
      <c r="Q69" s="19"/>
      <c r="R69" s="6"/>
      <c r="T69" s="6" t="s">
        <v>66</v>
      </c>
      <c r="U69" s="6">
        <f t="shared" si="29"/>
        <v>0</v>
      </c>
      <c r="V69" s="6">
        <f t="shared" si="30"/>
        <v>0</v>
      </c>
      <c r="W69" s="6">
        <f t="shared" si="31"/>
        <v>1</v>
      </c>
      <c r="X69" s="6">
        <f t="shared" si="32"/>
        <v>0</v>
      </c>
      <c r="Y69" s="18"/>
    </row>
    <row r="70" spans="1:25" ht="68" customHeight="1" x14ac:dyDescent="0.35">
      <c r="A70" s="6"/>
      <c r="B70" s="75"/>
      <c r="C70" s="6"/>
      <c r="D70" s="128"/>
      <c r="E70" s="18" t="s">
        <v>127</v>
      </c>
      <c r="F70" s="75"/>
      <c r="H70" s="6" t="s">
        <v>71</v>
      </c>
      <c r="I70" s="24"/>
      <c r="J70" s="19" t="s">
        <v>256</v>
      </c>
      <c r="L70" s="6" t="s">
        <v>67</v>
      </c>
      <c r="M70" s="6">
        <f t="shared" si="25"/>
        <v>0</v>
      </c>
      <c r="N70" s="6">
        <f t="shared" si="26"/>
        <v>0</v>
      </c>
      <c r="O70" s="6">
        <f t="shared" si="27"/>
        <v>0</v>
      </c>
      <c r="P70" s="6">
        <f t="shared" si="28"/>
        <v>1</v>
      </c>
      <c r="Q70" s="19"/>
      <c r="R70" s="6"/>
      <c r="T70" s="6" t="s">
        <v>66</v>
      </c>
      <c r="U70" s="6">
        <f t="shared" si="29"/>
        <v>0</v>
      </c>
      <c r="V70" s="6">
        <f t="shared" si="30"/>
        <v>0</v>
      </c>
      <c r="W70" s="6">
        <f t="shared" si="31"/>
        <v>1</v>
      </c>
      <c r="X70" s="6">
        <f t="shared" si="32"/>
        <v>0</v>
      </c>
      <c r="Y70" s="18"/>
    </row>
    <row r="71" spans="1:25" ht="68" customHeight="1" x14ac:dyDescent="0.35">
      <c r="A71" s="6"/>
      <c r="B71" s="75"/>
      <c r="C71" s="6"/>
      <c r="D71" s="127" t="s">
        <v>131</v>
      </c>
      <c r="E71" s="18" t="s">
        <v>126</v>
      </c>
      <c r="F71" s="75"/>
      <c r="H71" s="6" t="s">
        <v>69</v>
      </c>
      <c r="I71" s="24"/>
      <c r="J71" s="19" t="s">
        <v>248</v>
      </c>
      <c r="L71" s="6" t="s">
        <v>67</v>
      </c>
      <c r="M71" s="6">
        <f t="shared" si="25"/>
        <v>0</v>
      </c>
      <c r="N71" s="6">
        <f t="shared" si="26"/>
        <v>0</v>
      </c>
      <c r="O71" s="6">
        <f t="shared" si="27"/>
        <v>0</v>
      </c>
      <c r="P71" s="6">
        <f t="shared" si="28"/>
        <v>1</v>
      </c>
      <c r="Q71" s="19"/>
      <c r="R71" s="6"/>
      <c r="T71" s="6" t="s">
        <v>66</v>
      </c>
      <c r="U71" s="6">
        <f t="shared" si="29"/>
        <v>0</v>
      </c>
      <c r="V71" s="6">
        <f t="shared" si="30"/>
        <v>0</v>
      </c>
      <c r="W71" s="6">
        <f t="shared" si="31"/>
        <v>1</v>
      </c>
      <c r="X71" s="6">
        <f t="shared" si="32"/>
        <v>0</v>
      </c>
      <c r="Y71" s="18"/>
    </row>
    <row r="72" spans="1:25" ht="68" customHeight="1" x14ac:dyDescent="0.35">
      <c r="A72" s="6"/>
      <c r="B72" s="75"/>
      <c r="C72" s="6"/>
      <c r="D72" s="128"/>
      <c r="E72" s="97" t="s">
        <v>127</v>
      </c>
      <c r="F72" s="75"/>
      <c r="H72" s="6" t="s">
        <v>69</v>
      </c>
      <c r="I72" s="24"/>
      <c r="J72" s="19" t="s">
        <v>248</v>
      </c>
      <c r="L72" s="6" t="s">
        <v>67</v>
      </c>
      <c r="M72" s="6">
        <f t="shared" si="25"/>
        <v>0</v>
      </c>
      <c r="N72" s="6">
        <f t="shared" si="26"/>
        <v>0</v>
      </c>
      <c r="O72" s="6">
        <f t="shared" si="27"/>
        <v>0</v>
      </c>
      <c r="P72" s="6">
        <f t="shared" si="28"/>
        <v>1</v>
      </c>
      <c r="Q72" s="19" t="s">
        <v>310</v>
      </c>
      <c r="R72" s="6"/>
      <c r="T72" s="6" t="s">
        <v>66</v>
      </c>
      <c r="U72" s="6">
        <f t="shared" si="29"/>
        <v>0</v>
      </c>
      <c r="V72" s="6">
        <f t="shared" si="30"/>
        <v>0</v>
      </c>
      <c r="W72" s="6">
        <f t="shared" si="31"/>
        <v>1</v>
      </c>
      <c r="X72" s="6">
        <f t="shared" si="32"/>
        <v>0</v>
      </c>
      <c r="Y72" s="18"/>
    </row>
    <row r="73" spans="1:25" ht="68" customHeight="1" x14ac:dyDescent="0.35">
      <c r="A73" s="6"/>
      <c r="B73" s="75"/>
      <c r="C73" s="133" t="s">
        <v>132</v>
      </c>
      <c r="D73" s="19" t="s">
        <v>133</v>
      </c>
      <c r="E73" s="18"/>
      <c r="F73" s="75"/>
      <c r="H73" s="6" t="s">
        <v>134</v>
      </c>
      <c r="I73" s="24"/>
      <c r="J73" s="19" t="s">
        <v>286</v>
      </c>
      <c r="L73" s="6" t="s">
        <v>67</v>
      </c>
      <c r="M73" s="6">
        <f t="shared" si="25"/>
        <v>0</v>
      </c>
      <c r="N73" s="6">
        <f t="shared" si="26"/>
        <v>0</v>
      </c>
      <c r="O73" s="6">
        <f t="shared" si="27"/>
        <v>0</v>
      </c>
      <c r="P73" s="6">
        <f t="shared" si="28"/>
        <v>1</v>
      </c>
      <c r="Q73" s="19"/>
      <c r="R73" s="6"/>
      <c r="T73" s="6" t="s">
        <v>66</v>
      </c>
      <c r="U73" s="6">
        <f t="shared" si="29"/>
        <v>0</v>
      </c>
      <c r="V73" s="6">
        <f t="shared" si="30"/>
        <v>0</v>
      </c>
      <c r="W73" s="6">
        <f t="shared" si="31"/>
        <v>1</v>
      </c>
      <c r="X73" s="6">
        <f t="shared" si="32"/>
        <v>0</v>
      </c>
      <c r="Y73" s="18"/>
    </row>
    <row r="74" spans="1:25" ht="68" customHeight="1" x14ac:dyDescent="0.35">
      <c r="A74" s="6"/>
      <c r="B74" s="75"/>
      <c r="C74" s="133"/>
      <c r="D74" s="19" t="s">
        <v>135</v>
      </c>
      <c r="E74" s="18"/>
      <c r="F74" s="75"/>
      <c r="H74" s="6" t="s">
        <v>134</v>
      </c>
      <c r="I74" s="24"/>
      <c r="J74" s="19" t="s">
        <v>286</v>
      </c>
      <c r="L74" s="6" t="s">
        <v>67</v>
      </c>
      <c r="M74" s="6">
        <f t="shared" si="25"/>
        <v>0</v>
      </c>
      <c r="N74" s="6">
        <f t="shared" si="26"/>
        <v>0</v>
      </c>
      <c r="O74" s="6">
        <f t="shared" si="27"/>
        <v>0</v>
      </c>
      <c r="P74" s="6">
        <f t="shared" si="28"/>
        <v>1</v>
      </c>
      <c r="Q74" s="19"/>
      <c r="R74" s="6"/>
      <c r="T74" s="6" t="s">
        <v>66</v>
      </c>
      <c r="U74" s="6">
        <f t="shared" si="29"/>
        <v>0</v>
      </c>
      <c r="V74" s="6">
        <f t="shared" si="30"/>
        <v>0</v>
      </c>
      <c r="W74" s="6">
        <f t="shared" si="31"/>
        <v>1</v>
      </c>
      <c r="X74" s="6">
        <f t="shared" si="32"/>
        <v>0</v>
      </c>
      <c r="Y74" s="18"/>
    </row>
  </sheetData>
  <autoFilter ref="E1:E74" xr:uid="{00000000-0001-0000-0400-000000000000}"/>
  <mergeCells count="31">
    <mergeCell ref="C73:C74"/>
    <mergeCell ref="D52:D53"/>
    <mergeCell ref="D54:D55"/>
    <mergeCell ref="D57:D58"/>
    <mergeCell ref="D71:D72"/>
    <mergeCell ref="D63:D64"/>
    <mergeCell ref="D65:D66"/>
    <mergeCell ref="D67:D68"/>
    <mergeCell ref="D69:D70"/>
    <mergeCell ref="D23:D24"/>
    <mergeCell ref="D11:D12"/>
    <mergeCell ref="D13:D14"/>
    <mergeCell ref="D15:D16"/>
    <mergeCell ref="D18:D19"/>
    <mergeCell ref="D25:D26"/>
    <mergeCell ref="D30:D31"/>
    <mergeCell ref="D32:D33"/>
    <mergeCell ref="D34:D35"/>
    <mergeCell ref="D37:D38"/>
    <mergeCell ref="D39:D41"/>
    <mergeCell ref="D42:D44"/>
    <mergeCell ref="D45:D46"/>
    <mergeCell ref="D50:D51"/>
    <mergeCell ref="D60:D61"/>
    <mergeCell ref="A1:J1"/>
    <mergeCell ref="B3:C3"/>
    <mergeCell ref="L1:R1"/>
    <mergeCell ref="T1:Y1"/>
    <mergeCell ref="D21:D22"/>
    <mergeCell ref="D8:D10"/>
    <mergeCell ref="D5:D7"/>
  </mergeCells>
  <phoneticPr fontId="40" type="noConversion"/>
  <conditionalFormatting sqref="L4:L74 T4:T74">
    <cfRule type="cellIs" dxfId="27" priority="13" operator="equal">
      <formula>"B"</formula>
    </cfRule>
    <cfRule type="cellIs" dxfId="26" priority="14" operator="equal">
      <formula>"G"</formula>
    </cfRule>
    <cfRule type="cellIs" dxfId="25" priority="15" operator="equal">
      <formula>"Y"</formula>
    </cfRule>
    <cfRule type="cellIs" dxfId="24" priority="16" operator="equal">
      <formula>"R"</formula>
    </cfRule>
  </conditionalFormatting>
  <dataValidations count="1">
    <dataValidation type="list" allowBlank="1" showInputMessage="1" showErrorMessage="1" sqref="L4:L74 T4:T74" xr:uid="{00000000-0002-0000-0400-000000000000}">
      <formula1>"R,Y,B,G"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Y18"/>
  <sheetViews>
    <sheetView tabSelected="1" topLeftCell="B1" zoomScale="80" zoomScaleNormal="80" workbookViewId="0">
      <selection activeCell="C28" sqref="C28"/>
    </sheetView>
  </sheetViews>
  <sheetFormatPr defaultColWidth="8.54296875" defaultRowHeight="14.5" x14ac:dyDescent="0.35"/>
  <cols>
    <col min="1" max="1" width="6.453125" style="2" customWidth="1"/>
    <col min="2" max="2" width="32.36328125" style="21" customWidth="1"/>
    <col min="3" max="3" width="29.453125" style="3" customWidth="1"/>
    <col min="4" max="4" width="51" style="3" bestFit="1" customWidth="1"/>
    <col min="5" max="5" width="27.1796875" style="8" hidden="1" customWidth="1"/>
    <col min="6" max="6" width="32.54296875" style="8" hidden="1" customWidth="1"/>
    <col min="7" max="7" width="2.453125" style="3" customWidth="1"/>
    <col min="8" max="8" width="20" style="2" customWidth="1"/>
    <col min="9" max="9" width="2.54296875" style="2" customWidth="1"/>
    <col min="10" max="10" width="27.54296875" style="4" customWidth="1"/>
    <col min="11" max="11" width="8.54296875" style="3"/>
    <col min="12" max="12" width="12.81640625" style="3" bestFit="1" customWidth="1"/>
    <col min="13" max="16" width="8.54296875" style="3"/>
    <col min="17" max="17" width="34.453125" style="8" customWidth="1"/>
    <col min="18" max="18" width="12.54296875" style="3" customWidth="1"/>
    <col min="19" max="19" width="8.54296875" style="3"/>
    <col min="20" max="20" width="12.81640625" style="3" bestFit="1" customWidth="1"/>
    <col min="21" max="24" width="8.54296875" style="3"/>
    <col min="25" max="25" width="45.7265625" style="3" customWidth="1"/>
    <col min="26" max="16384" width="8.54296875" style="3"/>
  </cols>
  <sheetData>
    <row r="1" spans="1:25" ht="26" x14ac:dyDescent="0.35">
      <c r="A1" s="101" t="s">
        <v>75</v>
      </c>
      <c r="B1" s="101"/>
      <c r="C1" s="101"/>
      <c r="D1" s="101"/>
      <c r="E1" s="101"/>
      <c r="F1" s="101"/>
      <c r="G1" s="101"/>
      <c r="H1" s="101"/>
      <c r="I1" s="101"/>
      <c r="J1" s="101"/>
      <c r="L1" s="100" t="s">
        <v>309</v>
      </c>
      <c r="M1" s="100"/>
      <c r="N1" s="100"/>
      <c r="O1" s="100"/>
      <c r="P1" s="100"/>
      <c r="Q1" s="100"/>
      <c r="R1" s="100"/>
      <c r="T1" s="100" t="s">
        <v>54</v>
      </c>
      <c r="U1" s="100"/>
      <c r="V1" s="100"/>
      <c r="W1" s="100"/>
      <c r="X1" s="100"/>
      <c r="Y1" s="100"/>
    </row>
    <row r="2" spans="1:25" x14ac:dyDescent="0.35">
      <c r="A2" s="14" t="s">
        <v>5</v>
      </c>
      <c r="B2" s="14" t="s">
        <v>55</v>
      </c>
      <c r="C2" s="14" t="s">
        <v>56</v>
      </c>
      <c r="D2" s="14" t="s">
        <v>57</v>
      </c>
      <c r="E2" s="15" t="s">
        <v>58</v>
      </c>
      <c r="F2" s="15" t="s">
        <v>59</v>
      </c>
      <c r="G2" s="16"/>
      <c r="H2" s="14" t="s">
        <v>60</v>
      </c>
      <c r="I2" s="16" t="s">
        <v>5</v>
      </c>
      <c r="J2" s="15" t="s">
        <v>12</v>
      </c>
      <c r="L2" s="31" t="s">
        <v>61</v>
      </c>
      <c r="M2" s="6">
        <f>SUM(M4:M176)</f>
        <v>0</v>
      </c>
      <c r="N2" s="6">
        <f>SUM(N4:N176)</f>
        <v>0</v>
      </c>
      <c r="O2" s="6">
        <f>SUM(O4:O176)</f>
        <v>0</v>
      </c>
      <c r="P2" s="6">
        <f>SUM(P4:P176)</f>
        <v>15</v>
      </c>
      <c r="Q2" s="4"/>
      <c r="R2" s="63"/>
      <c r="T2" s="31" t="s">
        <v>61</v>
      </c>
      <c r="U2" s="6">
        <f>SUM(U4:U176)</f>
        <v>0</v>
      </c>
      <c r="V2" s="6">
        <f>SUM(V4:V176)</f>
        <v>0</v>
      </c>
      <c r="W2" s="6">
        <f>SUM(W4:W176)</f>
        <v>15</v>
      </c>
      <c r="X2" s="6">
        <f>SUM(X4:X176)</f>
        <v>0</v>
      </c>
      <c r="Y2" s="19"/>
    </row>
    <row r="3" spans="1:25" ht="15.65" customHeight="1" x14ac:dyDescent="0.35">
      <c r="A3" s="63">
        <v>2</v>
      </c>
      <c r="B3" s="75" t="s">
        <v>137</v>
      </c>
      <c r="C3" s="5"/>
      <c r="D3" s="75"/>
      <c r="E3" s="75"/>
      <c r="F3" s="75"/>
      <c r="G3" s="75"/>
      <c r="H3" s="75"/>
      <c r="I3" s="6"/>
      <c r="J3" s="19"/>
      <c r="L3" s="6" t="s">
        <v>63</v>
      </c>
      <c r="M3" s="32" t="s">
        <v>64</v>
      </c>
      <c r="N3" s="33" t="s">
        <v>65</v>
      </c>
      <c r="O3" s="34" t="s">
        <v>66</v>
      </c>
      <c r="P3" s="35" t="s">
        <v>67</v>
      </c>
      <c r="Q3" s="67" t="s">
        <v>68</v>
      </c>
      <c r="R3" s="63" t="s">
        <v>73</v>
      </c>
      <c r="T3" s="6" t="s">
        <v>63</v>
      </c>
      <c r="U3" s="32" t="s">
        <v>64</v>
      </c>
      <c r="V3" s="33" t="s">
        <v>65</v>
      </c>
      <c r="W3" s="34" t="s">
        <v>66</v>
      </c>
      <c r="X3" s="35" t="s">
        <v>67</v>
      </c>
      <c r="Y3" s="19" t="s">
        <v>68</v>
      </c>
    </row>
    <row r="4" spans="1:25" x14ac:dyDescent="0.35">
      <c r="A4" s="6"/>
      <c r="B4" s="75"/>
      <c r="C4" s="5" t="s">
        <v>138</v>
      </c>
      <c r="D4" s="75" t="s">
        <v>236</v>
      </c>
      <c r="E4" s="75"/>
      <c r="F4" s="75"/>
      <c r="G4" s="75"/>
      <c r="H4" s="75" t="s">
        <v>79</v>
      </c>
      <c r="I4" s="6"/>
      <c r="J4" s="19">
        <v>450</v>
      </c>
      <c r="L4" s="6" t="s">
        <v>67</v>
      </c>
      <c r="M4" s="6">
        <f>COUNTIFS(L4,"R")</f>
        <v>0</v>
      </c>
      <c r="N4" s="6">
        <f>COUNTIFS(L4,"Y")</f>
        <v>0</v>
      </c>
      <c r="O4" s="6">
        <f>COUNTIFS(L4,"G")</f>
        <v>0</v>
      </c>
      <c r="P4" s="6">
        <f>COUNTIFS(L4,"B")</f>
        <v>1</v>
      </c>
      <c r="Q4" s="18"/>
      <c r="R4" s="6" t="s">
        <v>20</v>
      </c>
      <c r="T4" s="6" t="s">
        <v>66</v>
      </c>
      <c r="U4" s="6">
        <f>COUNTIFS(T4,"R")</f>
        <v>0</v>
      </c>
      <c r="V4" s="6">
        <f>COUNTIFS(T4,"Y")</f>
        <v>0</v>
      </c>
      <c r="W4" s="6">
        <f>COUNTIFS(T4,"G")</f>
        <v>1</v>
      </c>
      <c r="X4" s="6">
        <f>COUNTIFS(T4,"B")</f>
        <v>0</v>
      </c>
      <c r="Y4" s="18"/>
    </row>
    <row r="5" spans="1:25" x14ac:dyDescent="0.35">
      <c r="A5" s="6"/>
      <c r="B5" s="75"/>
      <c r="C5" s="5"/>
      <c r="D5" s="75" t="s">
        <v>265</v>
      </c>
      <c r="E5" s="75"/>
      <c r="F5" s="75"/>
      <c r="G5" s="75"/>
      <c r="H5" s="75" t="s">
        <v>79</v>
      </c>
      <c r="I5" s="6"/>
      <c r="J5" s="19">
        <v>450</v>
      </c>
      <c r="L5" s="6" t="s">
        <v>67</v>
      </c>
      <c r="M5" s="6">
        <f t="shared" ref="M5:M13" si="0">COUNTIFS(L5,"R")</f>
        <v>0</v>
      </c>
      <c r="N5" s="6">
        <f t="shared" ref="N5:N13" si="1">COUNTIFS(L5,"Y")</f>
        <v>0</v>
      </c>
      <c r="O5" s="6">
        <f t="shared" ref="O5:O13" si="2">COUNTIFS(L5,"G")</f>
        <v>0</v>
      </c>
      <c r="P5" s="6">
        <f t="shared" ref="P5:P13" si="3">COUNTIFS(L5,"B")</f>
        <v>1</v>
      </c>
      <c r="Q5" s="18"/>
      <c r="R5" s="6"/>
      <c r="T5" s="6" t="s">
        <v>66</v>
      </c>
      <c r="U5" s="6">
        <f t="shared" ref="U5:U13" si="4">COUNTIFS(T5,"R")</f>
        <v>0</v>
      </c>
      <c r="V5" s="6">
        <f t="shared" ref="V5:V13" si="5">COUNTIFS(T5,"Y")</f>
        <v>0</v>
      </c>
      <c r="W5" s="6">
        <f t="shared" ref="W5:W13" si="6">COUNTIFS(T5,"G")</f>
        <v>1</v>
      </c>
      <c r="X5" s="6">
        <f t="shared" ref="X5:X13" si="7">COUNTIFS(T5,"B")</f>
        <v>0</v>
      </c>
      <c r="Y5" s="18"/>
    </row>
    <row r="6" spans="1:25" x14ac:dyDescent="0.35">
      <c r="A6" s="6"/>
      <c r="B6" s="75"/>
      <c r="C6" s="5" t="s">
        <v>140</v>
      </c>
      <c r="D6" s="75" t="s">
        <v>236</v>
      </c>
      <c r="E6" s="76"/>
      <c r="F6" s="75"/>
      <c r="G6" s="75"/>
      <c r="H6" s="75" t="s">
        <v>88</v>
      </c>
      <c r="I6" s="6"/>
      <c r="J6" s="19">
        <v>85</v>
      </c>
      <c r="L6" s="6" t="s">
        <v>67</v>
      </c>
      <c r="M6" s="6">
        <f t="shared" si="0"/>
        <v>0</v>
      </c>
      <c r="N6" s="6">
        <f t="shared" si="1"/>
        <v>0</v>
      </c>
      <c r="O6" s="6">
        <f t="shared" si="2"/>
        <v>0</v>
      </c>
      <c r="P6" s="6">
        <f t="shared" si="3"/>
        <v>1</v>
      </c>
      <c r="Q6" s="18"/>
      <c r="R6" s="6"/>
      <c r="T6" s="6" t="s">
        <v>66</v>
      </c>
      <c r="U6" s="6">
        <f t="shared" si="4"/>
        <v>0</v>
      </c>
      <c r="V6" s="6">
        <f t="shared" si="5"/>
        <v>0</v>
      </c>
      <c r="W6" s="6">
        <f t="shared" si="6"/>
        <v>1</v>
      </c>
      <c r="X6" s="6">
        <f t="shared" si="7"/>
        <v>0</v>
      </c>
      <c r="Y6" s="18"/>
    </row>
    <row r="7" spans="1:25" x14ac:dyDescent="0.35">
      <c r="A7" s="6"/>
      <c r="B7" s="75"/>
      <c r="C7" s="83"/>
      <c r="D7" s="75" t="s">
        <v>240</v>
      </c>
      <c r="E7" s="76"/>
      <c r="F7" s="75"/>
      <c r="G7" s="75"/>
      <c r="H7" s="75" t="s">
        <v>88</v>
      </c>
      <c r="I7" s="6"/>
      <c r="J7" s="19">
        <v>85</v>
      </c>
      <c r="L7" s="6" t="s">
        <v>67</v>
      </c>
      <c r="M7" s="6">
        <f t="shared" si="0"/>
        <v>0</v>
      </c>
      <c r="N7" s="6">
        <f t="shared" si="1"/>
        <v>0</v>
      </c>
      <c r="O7" s="6">
        <f t="shared" si="2"/>
        <v>0</v>
      </c>
      <c r="P7" s="6">
        <f t="shared" si="3"/>
        <v>1</v>
      </c>
      <c r="Q7" s="18"/>
      <c r="R7" s="6"/>
      <c r="T7" s="6" t="s">
        <v>66</v>
      </c>
      <c r="U7" s="6">
        <f t="shared" si="4"/>
        <v>0</v>
      </c>
      <c r="V7" s="6">
        <f t="shared" si="5"/>
        <v>0</v>
      </c>
      <c r="W7" s="6">
        <f t="shared" si="6"/>
        <v>1</v>
      </c>
      <c r="X7" s="6">
        <f t="shared" si="7"/>
        <v>0</v>
      </c>
      <c r="Y7" s="18"/>
    </row>
    <row r="8" spans="1:25" x14ac:dyDescent="0.35">
      <c r="A8" s="6"/>
      <c r="B8" s="84"/>
      <c r="C8" s="5" t="s">
        <v>141</v>
      </c>
      <c r="D8" s="75" t="s">
        <v>266</v>
      </c>
      <c r="E8" s="76"/>
      <c r="F8" s="75"/>
      <c r="G8" s="75"/>
      <c r="H8" s="75" t="s">
        <v>79</v>
      </c>
      <c r="I8" s="6"/>
      <c r="J8" s="19">
        <v>15</v>
      </c>
      <c r="L8" s="6" t="s">
        <v>67</v>
      </c>
      <c r="M8" s="6">
        <f t="shared" si="0"/>
        <v>0</v>
      </c>
      <c r="N8" s="6">
        <f t="shared" si="1"/>
        <v>0</v>
      </c>
      <c r="O8" s="6">
        <f t="shared" si="2"/>
        <v>0</v>
      </c>
      <c r="P8" s="6">
        <f t="shared" si="3"/>
        <v>1</v>
      </c>
      <c r="Q8" s="18"/>
      <c r="R8" s="6"/>
      <c r="T8" s="6" t="s">
        <v>66</v>
      </c>
      <c r="U8" s="6">
        <f t="shared" si="4"/>
        <v>0</v>
      </c>
      <c r="V8" s="6">
        <f t="shared" si="5"/>
        <v>0</v>
      </c>
      <c r="W8" s="6">
        <f t="shared" si="6"/>
        <v>1</v>
      </c>
      <c r="X8" s="6">
        <f t="shared" si="7"/>
        <v>0</v>
      </c>
      <c r="Y8" s="18"/>
    </row>
    <row r="9" spans="1:25" x14ac:dyDescent="0.35">
      <c r="A9" s="6"/>
      <c r="B9" s="84"/>
      <c r="C9" s="5"/>
      <c r="D9" s="75" t="s">
        <v>267</v>
      </c>
      <c r="E9" s="76"/>
      <c r="F9" s="75"/>
      <c r="G9" s="75"/>
      <c r="H9" s="75" t="s">
        <v>79</v>
      </c>
      <c r="I9" s="6"/>
      <c r="J9" s="19">
        <v>15</v>
      </c>
      <c r="L9" s="6" t="s">
        <v>67</v>
      </c>
      <c r="M9" s="6">
        <f t="shared" si="0"/>
        <v>0</v>
      </c>
      <c r="N9" s="6">
        <f t="shared" si="1"/>
        <v>0</v>
      </c>
      <c r="O9" s="6">
        <f t="shared" si="2"/>
        <v>0</v>
      </c>
      <c r="P9" s="6">
        <f t="shared" si="3"/>
        <v>1</v>
      </c>
      <c r="Q9" s="18"/>
      <c r="R9" s="6"/>
      <c r="T9" s="6" t="s">
        <v>66</v>
      </c>
      <c r="U9" s="6">
        <f t="shared" si="4"/>
        <v>0</v>
      </c>
      <c r="V9" s="6">
        <f t="shared" si="5"/>
        <v>0</v>
      </c>
      <c r="W9" s="6">
        <f t="shared" si="6"/>
        <v>1</v>
      </c>
      <c r="X9" s="6">
        <f t="shared" si="7"/>
        <v>0</v>
      </c>
      <c r="Y9" s="18"/>
    </row>
    <row r="10" spans="1:25" x14ac:dyDescent="0.35">
      <c r="A10" s="6"/>
      <c r="B10" s="75"/>
      <c r="C10" s="99" t="s">
        <v>142</v>
      </c>
      <c r="D10" s="75" t="s">
        <v>287</v>
      </c>
      <c r="E10" s="75"/>
      <c r="F10" s="75"/>
      <c r="G10" s="75"/>
      <c r="H10" s="75" t="s">
        <v>81</v>
      </c>
      <c r="I10" s="6"/>
      <c r="J10" s="19">
        <v>250</v>
      </c>
      <c r="L10" s="6" t="s">
        <v>67</v>
      </c>
      <c r="M10" s="6">
        <f t="shared" si="0"/>
        <v>0</v>
      </c>
      <c r="N10" s="6">
        <f t="shared" si="1"/>
        <v>0</v>
      </c>
      <c r="O10" s="6">
        <f t="shared" si="2"/>
        <v>0</v>
      </c>
      <c r="P10" s="6">
        <f t="shared" si="3"/>
        <v>1</v>
      </c>
      <c r="Q10" s="18" t="s">
        <v>311</v>
      </c>
      <c r="R10" s="6"/>
      <c r="T10" s="6" t="s">
        <v>66</v>
      </c>
      <c r="U10" s="6">
        <f t="shared" si="4"/>
        <v>0</v>
      </c>
      <c r="V10" s="6">
        <f t="shared" si="5"/>
        <v>0</v>
      </c>
      <c r="W10" s="6">
        <f t="shared" si="6"/>
        <v>1</v>
      </c>
      <c r="X10" s="6">
        <f t="shared" si="7"/>
        <v>0</v>
      </c>
      <c r="Y10" s="18"/>
    </row>
    <row r="11" spans="1:25" x14ac:dyDescent="0.35">
      <c r="A11" s="6"/>
      <c r="B11" s="75"/>
      <c r="C11" s="99" t="s">
        <v>144</v>
      </c>
      <c r="D11" s="75" t="s">
        <v>143</v>
      </c>
      <c r="E11" s="75"/>
      <c r="F11" s="75"/>
      <c r="G11" s="75"/>
      <c r="H11" s="75" t="s">
        <v>71</v>
      </c>
      <c r="I11" s="6"/>
      <c r="J11" s="19">
        <v>24</v>
      </c>
      <c r="L11" s="6" t="s">
        <v>67</v>
      </c>
      <c r="M11" s="6">
        <f t="shared" si="0"/>
        <v>0</v>
      </c>
      <c r="N11" s="6">
        <f t="shared" si="1"/>
        <v>0</v>
      </c>
      <c r="O11" s="6">
        <f t="shared" si="2"/>
        <v>0</v>
      </c>
      <c r="P11" s="6">
        <f t="shared" si="3"/>
        <v>1</v>
      </c>
      <c r="Q11" s="18" t="s">
        <v>311</v>
      </c>
      <c r="R11" s="6"/>
      <c r="T11" s="6" t="s">
        <v>66</v>
      </c>
      <c r="U11" s="6">
        <f t="shared" si="4"/>
        <v>0</v>
      </c>
      <c r="V11" s="6">
        <f t="shared" si="5"/>
        <v>0</v>
      </c>
      <c r="W11" s="6">
        <f t="shared" si="6"/>
        <v>1</v>
      </c>
      <c r="X11" s="6">
        <f t="shared" si="7"/>
        <v>0</v>
      </c>
      <c r="Y11" s="18"/>
    </row>
    <row r="12" spans="1:25" x14ac:dyDescent="0.35">
      <c r="A12" s="6"/>
      <c r="B12" s="75"/>
      <c r="C12" s="75" t="s">
        <v>145</v>
      </c>
      <c r="D12" s="75" t="s">
        <v>143</v>
      </c>
      <c r="E12" s="75"/>
      <c r="F12" s="75"/>
      <c r="G12" s="75"/>
      <c r="H12" s="75" t="s">
        <v>71</v>
      </c>
      <c r="I12" s="6"/>
      <c r="J12" s="19" t="s">
        <v>268</v>
      </c>
      <c r="L12" s="6" t="s">
        <v>67</v>
      </c>
      <c r="M12" s="6">
        <f t="shared" si="0"/>
        <v>0</v>
      </c>
      <c r="N12" s="6">
        <f t="shared" si="1"/>
        <v>0</v>
      </c>
      <c r="O12" s="6">
        <f t="shared" si="2"/>
        <v>0</v>
      </c>
      <c r="P12" s="6">
        <f t="shared" si="3"/>
        <v>1</v>
      </c>
      <c r="Q12" s="18"/>
      <c r="R12" s="6"/>
      <c r="T12" s="6" t="s">
        <v>66</v>
      </c>
      <c r="U12" s="6">
        <f t="shared" si="4"/>
        <v>0</v>
      </c>
      <c r="V12" s="6">
        <f t="shared" si="5"/>
        <v>0</v>
      </c>
      <c r="W12" s="6">
        <f t="shared" si="6"/>
        <v>1</v>
      </c>
      <c r="X12" s="6">
        <f t="shared" si="7"/>
        <v>0</v>
      </c>
      <c r="Y12" s="18"/>
    </row>
    <row r="13" spans="1:25" x14ac:dyDescent="0.35">
      <c r="A13" s="6"/>
      <c r="B13" s="75"/>
      <c r="C13" s="99" t="s">
        <v>146</v>
      </c>
      <c r="D13" s="75" t="s">
        <v>288</v>
      </c>
      <c r="E13" s="75"/>
      <c r="F13" s="75"/>
      <c r="G13" s="75"/>
      <c r="H13" s="75" t="s">
        <v>83</v>
      </c>
      <c r="I13" s="6"/>
      <c r="J13" s="19" t="s">
        <v>269</v>
      </c>
      <c r="L13" s="6" t="s">
        <v>67</v>
      </c>
      <c r="M13" s="6">
        <f t="shared" si="0"/>
        <v>0</v>
      </c>
      <c r="N13" s="6">
        <f t="shared" si="1"/>
        <v>0</v>
      </c>
      <c r="O13" s="6">
        <f t="shared" si="2"/>
        <v>0</v>
      </c>
      <c r="P13" s="6">
        <f t="shared" si="3"/>
        <v>1</v>
      </c>
      <c r="Q13" s="18" t="s">
        <v>311</v>
      </c>
      <c r="R13" s="6"/>
      <c r="T13" s="6" t="s">
        <v>66</v>
      </c>
      <c r="U13" s="6">
        <f t="shared" si="4"/>
        <v>0</v>
      </c>
      <c r="V13" s="6">
        <f t="shared" si="5"/>
        <v>0</v>
      </c>
      <c r="W13" s="6">
        <f t="shared" si="6"/>
        <v>1</v>
      </c>
      <c r="X13" s="6">
        <f t="shared" si="7"/>
        <v>0</v>
      </c>
      <c r="Y13" s="18"/>
    </row>
    <row r="14" spans="1:25" x14ac:dyDescent="0.35">
      <c r="A14" s="6"/>
      <c r="B14" s="75" t="s">
        <v>147</v>
      </c>
      <c r="C14" s="75" t="s">
        <v>148</v>
      </c>
      <c r="D14" s="75" t="s">
        <v>149</v>
      </c>
      <c r="E14" s="75"/>
      <c r="F14" s="75"/>
      <c r="G14" s="75"/>
      <c r="H14" s="75" t="s">
        <v>315</v>
      </c>
      <c r="I14" s="6"/>
      <c r="J14" s="19">
        <v>30000</v>
      </c>
      <c r="L14" s="6" t="s">
        <v>67</v>
      </c>
      <c r="M14" s="6">
        <f t="shared" ref="M14:M18" si="8">COUNTIFS(L14,"R")</f>
        <v>0</v>
      </c>
      <c r="N14" s="6">
        <f t="shared" ref="N14:N17" si="9">COUNTIFS(L14,"Y")</f>
        <v>0</v>
      </c>
      <c r="O14" s="6">
        <f t="shared" ref="O14:O17" si="10">COUNTIFS(L14,"G")</f>
        <v>0</v>
      </c>
      <c r="P14" s="6">
        <f t="shared" ref="P14:P17" si="11">COUNTIFS(L14,"B")</f>
        <v>1</v>
      </c>
      <c r="Q14" s="18"/>
      <c r="R14" s="6"/>
      <c r="T14" s="6" t="s">
        <v>66</v>
      </c>
      <c r="U14" s="6">
        <f t="shared" ref="U14:U18" si="12">COUNTIFS(T14,"R")</f>
        <v>0</v>
      </c>
      <c r="V14" s="6">
        <f t="shared" ref="V14:V18" si="13">COUNTIFS(T14,"Y")</f>
        <v>0</v>
      </c>
      <c r="W14" s="6">
        <f t="shared" ref="W14:W18" si="14">COUNTIFS(T14,"G")</f>
        <v>1</v>
      </c>
      <c r="X14" s="6">
        <f t="shared" ref="X14:X18" si="15">COUNTIFS(T14,"B")</f>
        <v>0</v>
      </c>
      <c r="Y14" s="18"/>
    </row>
    <row r="15" spans="1:25" x14ac:dyDescent="0.35">
      <c r="A15" s="6"/>
      <c r="B15" s="75"/>
      <c r="C15" s="75" t="s">
        <v>150</v>
      </c>
      <c r="D15" s="75" t="s">
        <v>149</v>
      </c>
      <c r="E15" s="75"/>
      <c r="F15" s="75"/>
      <c r="G15" s="75"/>
      <c r="H15" s="75" t="s">
        <v>315</v>
      </c>
      <c r="I15" s="6"/>
      <c r="J15" s="19">
        <v>30000</v>
      </c>
      <c r="L15" s="6" t="s">
        <v>67</v>
      </c>
      <c r="M15" s="6">
        <f t="shared" si="8"/>
        <v>0</v>
      </c>
      <c r="N15" s="6">
        <f t="shared" si="9"/>
        <v>0</v>
      </c>
      <c r="O15" s="6">
        <f t="shared" si="10"/>
        <v>0</v>
      </c>
      <c r="P15" s="6">
        <f t="shared" si="11"/>
        <v>1</v>
      </c>
      <c r="Q15" s="18"/>
      <c r="R15" s="6"/>
      <c r="T15" s="6" t="s">
        <v>66</v>
      </c>
      <c r="U15" s="6">
        <f t="shared" si="12"/>
        <v>0</v>
      </c>
      <c r="V15" s="6">
        <f t="shared" si="13"/>
        <v>0</v>
      </c>
      <c r="W15" s="6">
        <f t="shared" si="14"/>
        <v>1</v>
      </c>
      <c r="X15" s="6">
        <f t="shared" si="15"/>
        <v>0</v>
      </c>
      <c r="Y15" s="18"/>
    </row>
    <row r="16" spans="1:25" x14ac:dyDescent="0.35">
      <c r="A16" s="6"/>
      <c r="B16" s="75"/>
      <c r="C16" s="75" t="s">
        <v>151</v>
      </c>
      <c r="D16" s="75" t="s">
        <v>149</v>
      </c>
      <c r="E16" s="75"/>
      <c r="F16" s="75"/>
      <c r="G16" s="75"/>
      <c r="H16" s="75" t="s">
        <v>315</v>
      </c>
      <c r="I16" s="6"/>
      <c r="J16" s="19">
        <v>30000</v>
      </c>
      <c r="L16" s="6" t="s">
        <v>67</v>
      </c>
      <c r="M16" s="6">
        <f t="shared" si="8"/>
        <v>0</v>
      </c>
      <c r="N16" s="6">
        <f t="shared" si="9"/>
        <v>0</v>
      </c>
      <c r="O16" s="6">
        <f t="shared" si="10"/>
        <v>0</v>
      </c>
      <c r="P16" s="6">
        <f t="shared" si="11"/>
        <v>1</v>
      </c>
      <c r="Q16" s="18"/>
      <c r="R16" s="6"/>
      <c r="T16" s="6" t="s">
        <v>66</v>
      </c>
      <c r="U16" s="6">
        <f t="shared" si="12"/>
        <v>0</v>
      </c>
      <c r="V16" s="6">
        <f t="shared" si="13"/>
        <v>0</v>
      </c>
      <c r="W16" s="6">
        <f t="shared" si="14"/>
        <v>1</v>
      </c>
      <c r="X16" s="6">
        <f t="shared" si="15"/>
        <v>0</v>
      </c>
      <c r="Y16" s="18"/>
    </row>
    <row r="17" spans="1:25" ht="43.5" x14ac:dyDescent="0.35">
      <c r="A17" s="6"/>
      <c r="B17" s="77" t="s">
        <v>152</v>
      </c>
      <c r="C17" s="5" t="s">
        <v>153</v>
      </c>
      <c r="D17" s="5" t="s">
        <v>154</v>
      </c>
      <c r="E17" s="75"/>
      <c r="F17" s="75"/>
      <c r="G17" s="75"/>
      <c r="H17" s="75" t="s">
        <v>315</v>
      </c>
      <c r="I17" s="6"/>
      <c r="J17" s="19">
        <v>30000</v>
      </c>
      <c r="L17" s="6" t="s">
        <v>67</v>
      </c>
      <c r="M17" s="6">
        <f t="shared" si="8"/>
        <v>0</v>
      </c>
      <c r="N17" s="6">
        <f t="shared" si="9"/>
        <v>0</v>
      </c>
      <c r="O17" s="6">
        <f t="shared" si="10"/>
        <v>0</v>
      </c>
      <c r="P17" s="6">
        <f t="shared" si="11"/>
        <v>1</v>
      </c>
      <c r="Q17" s="18"/>
      <c r="R17" s="6"/>
      <c r="T17" s="6" t="s">
        <v>66</v>
      </c>
      <c r="U17" s="6">
        <f t="shared" si="12"/>
        <v>0</v>
      </c>
      <c r="V17" s="6">
        <f t="shared" si="13"/>
        <v>0</v>
      </c>
      <c r="W17" s="6">
        <f t="shared" si="14"/>
        <v>1</v>
      </c>
      <c r="X17" s="6">
        <f t="shared" si="15"/>
        <v>0</v>
      </c>
      <c r="Y17" s="18"/>
    </row>
    <row r="18" spans="1:25" x14ac:dyDescent="0.35">
      <c r="A18" s="6"/>
      <c r="B18" s="75"/>
      <c r="C18" s="75" t="s">
        <v>155</v>
      </c>
      <c r="D18" s="75" t="s">
        <v>149</v>
      </c>
      <c r="E18" s="75"/>
      <c r="F18" s="75"/>
      <c r="G18" s="75"/>
      <c r="H18" s="75" t="s">
        <v>315</v>
      </c>
      <c r="I18" s="6"/>
      <c r="J18" s="19">
        <v>30000</v>
      </c>
      <c r="L18" s="6" t="s">
        <v>67</v>
      </c>
      <c r="M18" s="6">
        <f t="shared" si="8"/>
        <v>0</v>
      </c>
      <c r="N18" s="6">
        <f t="shared" ref="N18" si="16">COUNTIFS(L18,"Y")</f>
        <v>0</v>
      </c>
      <c r="O18" s="6">
        <f t="shared" ref="O18" si="17">COUNTIFS(L18,"G")</f>
        <v>0</v>
      </c>
      <c r="P18" s="6">
        <f t="shared" ref="P18" si="18">COUNTIFS(L18,"B")</f>
        <v>1</v>
      </c>
      <c r="Q18" s="18"/>
      <c r="R18" s="6"/>
      <c r="T18" s="6" t="s">
        <v>66</v>
      </c>
      <c r="U18" s="6">
        <f t="shared" si="12"/>
        <v>0</v>
      </c>
      <c r="V18" s="6">
        <f t="shared" si="13"/>
        <v>0</v>
      </c>
      <c r="W18" s="6">
        <f t="shared" si="14"/>
        <v>1</v>
      </c>
      <c r="X18" s="6">
        <f t="shared" si="15"/>
        <v>0</v>
      </c>
      <c r="Y18" s="18"/>
    </row>
  </sheetData>
  <autoFilter ref="A2:J3" xr:uid="{00000000-0009-0000-0000-000005000000}"/>
  <mergeCells count="3">
    <mergeCell ref="L1:R1"/>
    <mergeCell ref="T1:Y1"/>
    <mergeCell ref="A1:J1"/>
  </mergeCells>
  <conditionalFormatting sqref="L4:L18 T4:T18">
    <cfRule type="cellIs" dxfId="23" priority="1" operator="equal">
      <formula>"B"</formula>
    </cfRule>
    <cfRule type="cellIs" dxfId="22" priority="2" operator="equal">
      <formula>"G"</formula>
    </cfRule>
    <cfRule type="cellIs" dxfId="21" priority="3" operator="equal">
      <formula>"Y"</formula>
    </cfRule>
    <cfRule type="cellIs" dxfId="20" priority="4" operator="equal">
      <formula>"R"</formula>
    </cfRule>
  </conditionalFormatting>
  <dataValidations count="1">
    <dataValidation type="list" allowBlank="1" showInputMessage="1" showErrorMessage="1" sqref="L4:L18 T4:T18" xr:uid="{00000000-0002-0000-0500-000000000000}">
      <formula1>"R,Y,B,G"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Y11"/>
  <sheetViews>
    <sheetView zoomScale="52" zoomScaleNormal="52" workbookViewId="0">
      <selection activeCell="K5" sqref="K5:K8"/>
    </sheetView>
  </sheetViews>
  <sheetFormatPr defaultColWidth="8.54296875" defaultRowHeight="14.5" x14ac:dyDescent="0.35"/>
  <cols>
    <col min="1" max="1" width="6.453125" style="2" customWidth="1"/>
    <col min="2" max="2" width="22.54296875" style="21" bestFit="1" customWidth="1"/>
    <col min="3" max="3" width="25.81640625" style="8" customWidth="1"/>
    <col min="4" max="4" width="26.26953125" style="8" customWidth="1"/>
    <col min="5" max="5" width="45.1796875" style="62" customWidth="1"/>
    <col min="6" max="6" width="19.54296875" style="8" customWidth="1"/>
    <col min="7" max="7" width="2.453125" style="3" customWidth="1"/>
    <col min="8" max="8" width="20" style="2" customWidth="1"/>
    <col min="9" max="9" width="2.54296875" style="2" customWidth="1"/>
    <col min="10" max="10" width="31.26953125" style="4" customWidth="1"/>
    <col min="11" max="11" width="8.54296875" style="3"/>
    <col min="12" max="12" width="13.54296875" style="3" bestFit="1" customWidth="1"/>
    <col min="13" max="16" width="8.54296875" style="3"/>
    <col min="17" max="17" width="30.36328125" style="3" customWidth="1"/>
    <col min="18" max="18" width="11.1796875" style="3" customWidth="1"/>
    <col min="19" max="19" width="8.54296875" style="3"/>
    <col min="20" max="20" width="13.54296875" style="3" bestFit="1" customWidth="1"/>
    <col min="21" max="24" width="8.54296875" style="3"/>
    <col min="25" max="25" width="34.81640625" style="3" customWidth="1"/>
    <col min="26" max="16384" width="8.54296875" style="3"/>
  </cols>
  <sheetData>
    <row r="1" spans="1:25" ht="26.15" customHeight="1" x14ac:dyDescent="0.35">
      <c r="A1" s="101" t="s">
        <v>75</v>
      </c>
      <c r="B1" s="101"/>
      <c r="C1" s="101"/>
      <c r="D1" s="101"/>
      <c r="E1" s="101"/>
      <c r="F1" s="101"/>
      <c r="G1" s="101"/>
      <c r="H1" s="101"/>
      <c r="I1" s="101"/>
      <c r="J1" s="101"/>
      <c r="L1" s="100" t="s">
        <v>76</v>
      </c>
      <c r="M1" s="100"/>
      <c r="N1" s="100"/>
      <c r="O1" s="100"/>
      <c r="P1" s="100"/>
      <c r="Q1" s="100"/>
      <c r="R1" s="100"/>
      <c r="T1" s="100" t="s">
        <v>54</v>
      </c>
      <c r="U1" s="100"/>
      <c r="V1" s="100"/>
      <c r="W1" s="100"/>
      <c r="X1" s="100"/>
      <c r="Y1" s="100"/>
    </row>
    <row r="2" spans="1:25" x14ac:dyDescent="0.35">
      <c r="A2" s="14" t="s">
        <v>5</v>
      </c>
      <c r="B2" s="14" t="s">
        <v>55</v>
      </c>
      <c r="C2" s="15" t="s">
        <v>56</v>
      </c>
      <c r="D2" s="15" t="s">
        <v>57</v>
      </c>
      <c r="E2" s="80" t="s">
        <v>58</v>
      </c>
      <c r="F2" s="15" t="s">
        <v>59</v>
      </c>
      <c r="G2" s="16"/>
      <c r="H2" s="14" t="s">
        <v>60</v>
      </c>
      <c r="I2" s="16" t="s">
        <v>5</v>
      </c>
      <c r="J2" s="15" t="s">
        <v>12</v>
      </c>
      <c r="L2" s="31" t="s">
        <v>61</v>
      </c>
      <c r="M2" s="6">
        <f>SUM(M4:M161)</f>
        <v>0</v>
      </c>
      <c r="N2" s="6">
        <f>SUM(N4:N161)</f>
        <v>0</v>
      </c>
      <c r="O2" s="6">
        <f>SUM(O4:O161)</f>
        <v>0</v>
      </c>
      <c r="P2" s="6">
        <f>SUM(P4:P161)</f>
        <v>7</v>
      </c>
      <c r="Q2" s="4"/>
      <c r="R2" s="63"/>
      <c r="T2" s="31" t="s">
        <v>61</v>
      </c>
      <c r="U2" s="6">
        <f>SUM(U4:U161)</f>
        <v>0</v>
      </c>
      <c r="V2" s="6">
        <f>SUM(V4:V161)</f>
        <v>0</v>
      </c>
      <c r="W2" s="6">
        <f>SUM(W4:W161)</f>
        <v>7</v>
      </c>
      <c r="X2" s="6">
        <f>SUM(X4:X161)</f>
        <v>0</v>
      </c>
      <c r="Y2" s="19"/>
    </row>
    <row r="3" spans="1:25" ht="46.5" x14ac:dyDescent="0.35">
      <c r="A3" s="6">
        <v>3</v>
      </c>
      <c r="B3" s="17" t="s">
        <v>23</v>
      </c>
      <c r="C3" s="79"/>
      <c r="D3" s="18"/>
      <c r="E3" s="70"/>
      <c r="F3" s="18"/>
      <c r="G3" s="5"/>
      <c r="H3" s="6"/>
      <c r="I3" s="6"/>
      <c r="J3" s="19"/>
      <c r="L3" s="6" t="s">
        <v>63</v>
      </c>
      <c r="M3" s="32" t="s">
        <v>64</v>
      </c>
      <c r="N3" s="33" t="s">
        <v>65</v>
      </c>
      <c r="O3" s="34" t="s">
        <v>66</v>
      </c>
      <c r="P3" s="35" t="s">
        <v>67</v>
      </c>
      <c r="Q3" s="19" t="s">
        <v>68</v>
      </c>
      <c r="R3" s="6" t="s">
        <v>73</v>
      </c>
      <c r="T3" s="6" t="s">
        <v>63</v>
      </c>
      <c r="U3" s="32" t="s">
        <v>64</v>
      </c>
      <c r="V3" s="33" t="s">
        <v>65</v>
      </c>
      <c r="W3" s="34" t="s">
        <v>66</v>
      </c>
      <c r="X3" s="35" t="s">
        <v>67</v>
      </c>
      <c r="Y3" s="19" t="s">
        <v>68</v>
      </c>
    </row>
    <row r="4" spans="1:25" x14ac:dyDescent="0.35">
      <c r="A4" s="6"/>
      <c r="B4" s="20"/>
      <c r="C4" s="79" t="s">
        <v>156</v>
      </c>
      <c r="D4" s="78" t="s">
        <v>157</v>
      </c>
      <c r="E4" s="68"/>
      <c r="F4" s="18"/>
      <c r="G4" s="5"/>
      <c r="H4" s="6" t="s">
        <v>70</v>
      </c>
      <c r="I4" s="6"/>
      <c r="J4" s="6" t="s">
        <v>162</v>
      </c>
      <c r="L4" s="6" t="s">
        <v>67</v>
      </c>
      <c r="M4" s="6">
        <f>COUNTIFS(L4,"R")</f>
        <v>0</v>
      </c>
      <c r="N4" s="6">
        <f>COUNTIFS(L4,"Y")</f>
        <v>0</v>
      </c>
      <c r="O4" s="6">
        <f>COUNTIFS(L4,"G")</f>
        <v>0</v>
      </c>
      <c r="P4" s="6">
        <f>COUNTIFS(L4,"B")</f>
        <v>1</v>
      </c>
      <c r="Q4" s="18"/>
      <c r="R4" s="6"/>
      <c r="T4" s="6" t="s">
        <v>66</v>
      </c>
      <c r="U4" s="6">
        <f>COUNTIFS(T4,"R")</f>
        <v>0</v>
      </c>
      <c r="V4" s="6">
        <f>COUNTIFS(T4,"Y")</f>
        <v>0</v>
      </c>
      <c r="W4" s="6">
        <f>COUNTIFS(T4,"G")</f>
        <v>1</v>
      </c>
      <c r="X4" s="6">
        <f>COUNTIFS(T4,"B")</f>
        <v>0</v>
      </c>
      <c r="Y4" s="18"/>
    </row>
    <row r="5" spans="1:25" ht="37.5" customHeight="1" x14ac:dyDescent="0.35">
      <c r="A5" s="6"/>
      <c r="B5" s="20"/>
      <c r="C5" s="134" t="s">
        <v>158</v>
      </c>
      <c r="D5" s="134" t="s">
        <v>159</v>
      </c>
      <c r="E5" s="68" t="s">
        <v>270</v>
      </c>
      <c r="F5" s="18"/>
      <c r="G5" s="5"/>
      <c r="H5" s="6" t="s">
        <v>70</v>
      </c>
      <c r="I5" s="6"/>
      <c r="J5" s="6" t="s">
        <v>162</v>
      </c>
      <c r="L5" s="6" t="s">
        <v>67</v>
      </c>
      <c r="M5" s="6">
        <f t="shared" ref="M5:M10" si="0">COUNTIFS(L5,"R")</f>
        <v>0</v>
      </c>
      <c r="N5" s="6">
        <f t="shared" ref="N5:N10" si="1">COUNTIFS(L5,"Y")</f>
        <v>0</v>
      </c>
      <c r="O5" s="6">
        <f t="shared" ref="O5:O10" si="2">COUNTIFS(L5,"G")</f>
        <v>0</v>
      </c>
      <c r="P5" s="6">
        <f t="shared" ref="P5:P10" si="3">COUNTIFS(L5,"B")</f>
        <v>1</v>
      </c>
      <c r="Q5" s="18"/>
      <c r="R5" s="6"/>
      <c r="T5" s="6" t="s">
        <v>66</v>
      </c>
      <c r="U5" s="6">
        <f t="shared" ref="U5:U10" si="4">COUNTIFS(T5,"R")</f>
        <v>0</v>
      </c>
      <c r="V5" s="6">
        <f t="shared" ref="V5:V10" si="5">COUNTIFS(T5,"Y")</f>
        <v>0</v>
      </c>
      <c r="W5" s="6">
        <f t="shared" ref="W5:W10" si="6">COUNTIFS(T5,"G")</f>
        <v>1</v>
      </c>
      <c r="X5" s="6">
        <f t="shared" ref="X5:X10" si="7">COUNTIFS(T5,"B")</f>
        <v>0</v>
      </c>
      <c r="Y5" s="18"/>
    </row>
    <row r="6" spans="1:25" ht="25" customHeight="1" x14ac:dyDescent="0.35">
      <c r="A6" s="6"/>
      <c r="B6" s="20"/>
      <c r="C6" s="137"/>
      <c r="D6" s="135"/>
      <c r="E6" s="68" t="s">
        <v>271</v>
      </c>
      <c r="F6" s="18"/>
      <c r="G6" s="5"/>
      <c r="H6" s="6" t="s">
        <v>70</v>
      </c>
      <c r="I6" s="6"/>
      <c r="J6" s="6" t="s">
        <v>162</v>
      </c>
      <c r="L6" s="6" t="s">
        <v>67</v>
      </c>
      <c r="M6" s="6">
        <f t="shared" si="0"/>
        <v>0</v>
      </c>
      <c r="N6" s="6">
        <f t="shared" si="1"/>
        <v>0</v>
      </c>
      <c r="O6" s="6">
        <f t="shared" si="2"/>
        <v>0</v>
      </c>
      <c r="P6" s="6">
        <f t="shared" si="3"/>
        <v>1</v>
      </c>
      <c r="Q6" s="18"/>
      <c r="R6" s="6"/>
      <c r="T6" s="6" t="s">
        <v>66</v>
      </c>
      <c r="U6" s="6">
        <f t="shared" si="4"/>
        <v>0</v>
      </c>
      <c r="V6" s="6">
        <f t="shared" si="5"/>
        <v>0</v>
      </c>
      <c r="W6" s="6">
        <f t="shared" si="6"/>
        <v>1</v>
      </c>
      <c r="X6" s="6">
        <f t="shared" si="7"/>
        <v>0</v>
      </c>
      <c r="Y6" s="18"/>
    </row>
    <row r="7" spans="1:25" ht="29" customHeight="1" x14ac:dyDescent="0.35">
      <c r="A7" s="6"/>
      <c r="B7" s="20"/>
      <c r="C7" s="136" t="s">
        <v>160</v>
      </c>
      <c r="D7" s="134" t="s">
        <v>163</v>
      </c>
      <c r="E7" s="68" t="s">
        <v>270</v>
      </c>
      <c r="F7" s="18"/>
      <c r="G7" s="5"/>
      <c r="H7" s="6" t="s">
        <v>70</v>
      </c>
      <c r="I7" s="6"/>
      <c r="J7" s="6" t="s">
        <v>162</v>
      </c>
      <c r="L7" s="6" t="s">
        <v>67</v>
      </c>
      <c r="M7" s="6">
        <f t="shared" si="0"/>
        <v>0</v>
      </c>
      <c r="N7" s="6">
        <f t="shared" si="1"/>
        <v>0</v>
      </c>
      <c r="O7" s="6">
        <f t="shared" si="2"/>
        <v>0</v>
      </c>
      <c r="P7" s="6">
        <f t="shared" si="3"/>
        <v>1</v>
      </c>
      <c r="Q7" s="5"/>
      <c r="R7" s="5"/>
      <c r="T7" s="6" t="s">
        <v>66</v>
      </c>
      <c r="U7" s="6">
        <f t="shared" si="4"/>
        <v>0</v>
      </c>
      <c r="V7" s="6">
        <f t="shared" si="5"/>
        <v>0</v>
      </c>
      <c r="W7" s="6">
        <f t="shared" si="6"/>
        <v>1</v>
      </c>
      <c r="X7" s="6">
        <f t="shared" si="7"/>
        <v>0</v>
      </c>
      <c r="Y7" s="5"/>
    </row>
    <row r="8" spans="1:25" ht="21" customHeight="1" x14ac:dyDescent="0.35">
      <c r="A8" s="6"/>
      <c r="B8" s="20"/>
      <c r="C8" s="136"/>
      <c r="D8" s="135"/>
      <c r="E8" s="68" t="s">
        <v>271</v>
      </c>
      <c r="F8" s="18"/>
      <c r="G8" s="5"/>
      <c r="H8" s="6" t="s">
        <v>70</v>
      </c>
      <c r="I8" s="6"/>
      <c r="J8" s="6" t="s">
        <v>162</v>
      </c>
      <c r="L8" s="6" t="s">
        <v>67</v>
      </c>
      <c r="M8" s="6">
        <f t="shared" si="0"/>
        <v>0</v>
      </c>
      <c r="N8" s="6">
        <f t="shared" si="1"/>
        <v>0</v>
      </c>
      <c r="O8" s="6">
        <f t="shared" si="2"/>
        <v>0</v>
      </c>
      <c r="P8" s="6">
        <f t="shared" si="3"/>
        <v>1</v>
      </c>
      <c r="Q8" s="5"/>
      <c r="R8" s="5"/>
      <c r="T8" s="6" t="s">
        <v>66</v>
      </c>
      <c r="U8" s="6">
        <f t="shared" si="4"/>
        <v>0</v>
      </c>
      <c r="V8" s="6">
        <f t="shared" si="5"/>
        <v>0</v>
      </c>
      <c r="W8" s="6">
        <f t="shared" si="6"/>
        <v>1</v>
      </c>
      <c r="X8" s="6">
        <f t="shared" si="7"/>
        <v>0</v>
      </c>
      <c r="Y8" s="5"/>
    </row>
    <row r="9" spans="1:25" ht="32" customHeight="1" x14ac:dyDescent="0.35">
      <c r="A9" s="6"/>
      <c r="B9" s="20"/>
      <c r="C9" s="136" t="s">
        <v>161</v>
      </c>
      <c r="D9" s="134" t="s">
        <v>163</v>
      </c>
      <c r="E9" s="68" t="s">
        <v>270</v>
      </c>
      <c r="F9" s="18"/>
      <c r="G9" s="5"/>
      <c r="H9" s="6" t="s">
        <v>70</v>
      </c>
      <c r="I9" s="6"/>
      <c r="J9" s="6" t="s">
        <v>162</v>
      </c>
      <c r="L9" s="6" t="s">
        <v>67</v>
      </c>
      <c r="M9" s="6">
        <f t="shared" si="0"/>
        <v>0</v>
      </c>
      <c r="N9" s="6">
        <f t="shared" si="1"/>
        <v>0</v>
      </c>
      <c r="O9" s="6">
        <f t="shared" si="2"/>
        <v>0</v>
      </c>
      <c r="P9" s="6">
        <f t="shared" si="3"/>
        <v>1</v>
      </c>
      <c r="Q9" s="5"/>
      <c r="R9" s="5"/>
      <c r="T9" s="6" t="s">
        <v>66</v>
      </c>
      <c r="U9" s="6">
        <f t="shared" si="4"/>
        <v>0</v>
      </c>
      <c r="V9" s="6">
        <f t="shared" si="5"/>
        <v>0</v>
      </c>
      <c r="W9" s="6">
        <f t="shared" si="6"/>
        <v>1</v>
      </c>
      <c r="X9" s="6">
        <f t="shared" si="7"/>
        <v>0</v>
      </c>
      <c r="Y9" s="5"/>
    </row>
    <row r="10" spans="1:25" ht="28" customHeight="1" x14ac:dyDescent="0.35">
      <c r="A10" s="6"/>
      <c r="B10" s="20"/>
      <c r="C10" s="136"/>
      <c r="D10" s="135"/>
      <c r="E10" s="68" t="s">
        <v>271</v>
      </c>
      <c r="F10" s="18"/>
      <c r="G10" s="5"/>
      <c r="H10" s="6" t="s">
        <v>70</v>
      </c>
      <c r="I10" s="6"/>
      <c r="J10" s="6" t="s">
        <v>162</v>
      </c>
      <c r="L10" s="6" t="s">
        <v>67</v>
      </c>
      <c r="M10" s="6">
        <f t="shared" si="0"/>
        <v>0</v>
      </c>
      <c r="N10" s="6">
        <f t="shared" si="1"/>
        <v>0</v>
      </c>
      <c r="O10" s="6">
        <f t="shared" si="2"/>
        <v>0</v>
      </c>
      <c r="P10" s="6">
        <f t="shared" si="3"/>
        <v>1</v>
      </c>
      <c r="Q10" s="5"/>
      <c r="R10" s="5"/>
      <c r="T10" s="6" t="s">
        <v>66</v>
      </c>
      <c r="U10" s="6">
        <f t="shared" si="4"/>
        <v>0</v>
      </c>
      <c r="V10" s="6">
        <f t="shared" si="5"/>
        <v>0</v>
      </c>
      <c r="W10" s="6">
        <f t="shared" si="6"/>
        <v>1</v>
      </c>
      <c r="X10" s="6">
        <f t="shared" si="7"/>
        <v>0</v>
      </c>
      <c r="Y10" s="5"/>
    </row>
    <row r="11" spans="1:25" x14ac:dyDescent="0.35">
      <c r="C11" s="85"/>
    </row>
  </sheetData>
  <autoFilter ref="A2:J3" xr:uid="{00000000-0009-0000-0000-000006000000}"/>
  <mergeCells count="9">
    <mergeCell ref="T1:Y1"/>
    <mergeCell ref="D5:D6"/>
    <mergeCell ref="D7:D8"/>
    <mergeCell ref="C7:C8"/>
    <mergeCell ref="C9:C10"/>
    <mergeCell ref="C5:C6"/>
    <mergeCell ref="D9:D10"/>
    <mergeCell ref="A1:J1"/>
    <mergeCell ref="L1:R1"/>
  </mergeCells>
  <conditionalFormatting sqref="L4:L10 T4:T10">
    <cfRule type="cellIs" dxfId="19" priority="5" operator="equal">
      <formula>"B"</formula>
    </cfRule>
    <cfRule type="cellIs" dxfId="18" priority="6" operator="equal">
      <formula>"G"</formula>
    </cfRule>
    <cfRule type="cellIs" dxfId="17" priority="7" operator="equal">
      <formula>"Y"</formula>
    </cfRule>
    <cfRule type="cellIs" dxfId="16" priority="8" operator="equal">
      <formula>"R"</formula>
    </cfRule>
  </conditionalFormatting>
  <dataValidations count="1">
    <dataValidation type="list" allowBlank="1" showInputMessage="1" showErrorMessage="1" sqref="L4:L10 T4:T10" xr:uid="{00000000-0002-0000-0600-000000000000}">
      <formula1>"R,Y,B,G"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Y10"/>
  <sheetViews>
    <sheetView zoomScale="52" zoomScaleNormal="52"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D4" sqref="D4:D6"/>
    </sheetView>
  </sheetViews>
  <sheetFormatPr defaultColWidth="8.54296875" defaultRowHeight="14.5" x14ac:dyDescent="0.35"/>
  <cols>
    <col min="1" max="1" width="6.453125" style="2" customWidth="1"/>
    <col min="2" max="2" width="17.1796875" style="21" customWidth="1"/>
    <col min="3" max="3" width="12.81640625" style="3" bestFit="1" customWidth="1"/>
    <col min="4" max="4" width="19.6328125" style="3" bestFit="1" customWidth="1"/>
    <col min="5" max="5" width="29.08984375" style="8" bestFit="1" customWidth="1"/>
    <col min="6" max="6" width="19.54296875" style="8" customWidth="1"/>
    <col min="7" max="7" width="2.453125" style="3" customWidth="1"/>
    <col min="8" max="8" width="12" style="2" bestFit="1" customWidth="1"/>
    <col min="9" max="9" width="2.54296875" style="2" customWidth="1"/>
    <col min="10" max="10" width="15.26953125" style="4" customWidth="1"/>
    <col min="11" max="11" width="13.54296875" style="3" customWidth="1"/>
    <col min="12" max="12" width="12.81640625" style="3" bestFit="1" customWidth="1"/>
    <col min="13" max="16" width="8.54296875" style="3"/>
    <col min="17" max="17" width="34.26953125" style="8" customWidth="1"/>
    <col min="18" max="18" width="12.90625" style="3" customWidth="1"/>
    <col min="19" max="19" width="8.54296875" style="3"/>
    <col min="20" max="20" width="12.81640625" style="3" bestFit="1" customWidth="1"/>
    <col min="21" max="24" width="8.54296875" style="3"/>
    <col min="25" max="25" width="40.7265625" style="3" customWidth="1"/>
    <col min="26" max="16384" width="8.54296875" style="3"/>
  </cols>
  <sheetData>
    <row r="1" spans="1:25" ht="26.15" customHeight="1" x14ac:dyDescent="0.35">
      <c r="A1" s="101" t="s">
        <v>75</v>
      </c>
      <c r="B1" s="101"/>
      <c r="C1" s="101"/>
      <c r="D1" s="101"/>
      <c r="E1" s="101"/>
      <c r="F1" s="101"/>
      <c r="G1" s="101"/>
      <c r="H1" s="101"/>
      <c r="I1" s="101"/>
      <c r="J1" s="101"/>
      <c r="L1" s="100" t="s">
        <v>76</v>
      </c>
      <c r="M1" s="100"/>
      <c r="N1" s="100"/>
      <c r="O1" s="100"/>
      <c r="P1" s="100"/>
      <c r="Q1" s="100"/>
      <c r="R1" s="100"/>
      <c r="T1" s="100" t="s">
        <v>54</v>
      </c>
      <c r="U1" s="100"/>
      <c r="V1" s="100"/>
      <c r="W1" s="100"/>
      <c r="X1" s="100"/>
      <c r="Y1" s="100"/>
    </row>
    <row r="2" spans="1:25" x14ac:dyDescent="0.35">
      <c r="A2" s="14" t="s">
        <v>5</v>
      </c>
      <c r="B2" s="14" t="s">
        <v>55</v>
      </c>
      <c r="C2" s="14" t="s">
        <v>56</v>
      </c>
      <c r="D2" s="14" t="s">
        <v>57</v>
      </c>
      <c r="E2" s="15" t="s">
        <v>58</v>
      </c>
      <c r="F2" s="15" t="s">
        <v>59</v>
      </c>
      <c r="G2" s="16"/>
      <c r="H2" s="14" t="s">
        <v>60</v>
      </c>
      <c r="I2" s="16" t="s">
        <v>5</v>
      </c>
      <c r="J2" s="15" t="s">
        <v>12</v>
      </c>
      <c r="L2" s="31" t="s">
        <v>61</v>
      </c>
      <c r="M2" s="6">
        <f>SUM(M4:M181)</f>
        <v>0</v>
      </c>
      <c r="N2" s="6">
        <f>SUM(N4:N181)</f>
        <v>0</v>
      </c>
      <c r="O2" s="6">
        <f>SUM(O4:O181)</f>
        <v>0</v>
      </c>
      <c r="P2" s="6">
        <f>SUM(P4:P181)</f>
        <v>7</v>
      </c>
      <c r="Q2" s="4"/>
      <c r="R2" s="63"/>
      <c r="T2" s="31" t="s">
        <v>61</v>
      </c>
      <c r="U2" s="6">
        <f>SUM(U4:U181)</f>
        <v>0</v>
      </c>
      <c r="V2" s="6">
        <f>SUM(V4:V181)</f>
        <v>0</v>
      </c>
      <c r="W2" s="6">
        <f>SUM(W4:W181)</f>
        <v>7</v>
      </c>
      <c r="X2" s="6">
        <f>SUM(X4:X181)</f>
        <v>0</v>
      </c>
      <c r="Y2" s="19"/>
    </row>
    <row r="3" spans="1:25" ht="31.9" customHeight="1" x14ac:dyDescent="0.35">
      <c r="A3" s="6">
        <v>4</v>
      </c>
      <c r="B3" s="17" t="s">
        <v>164</v>
      </c>
      <c r="C3" s="5"/>
      <c r="E3" s="18"/>
      <c r="F3" s="18"/>
      <c r="G3" s="5"/>
      <c r="H3" s="6"/>
      <c r="I3" s="6"/>
      <c r="J3" s="19"/>
      <c r="L3" s="6" t="s">
        <v>63</v>
      </c>
      <c r="M3" s="32" t="s">
        <v>64</v>
      </c>
      <c r="N3" s="33" t="s">
        <v>65</v>
      </c>
      <c r="O3" s="34" t="s">
        <v>66</v>
      </c>
      <c r="P3" s="69" t="s">
        <v>67</v>
      </c>
      <c r="Q3" s="67" t="s">
        <v>68</v>
      </c>
      <c r="R3" s="63" t="s">
        <v>73</v>
      </c>
      <c r="T3" s="6" t="s">
        <v>63</v>
      </c>
      <c r="U3" s="32" t="s">
        <v>64</v>
      </c>
      <c r="V3" s="33" t="s">
        <v>65</v>
      </c>
      <c r="W3" s="34" t="s">
        <v>66</v>
      </c>
      <c r="X3" s="35" t="s">
        <v>67</v>
      </c>
      <c r="Y3" s="19" t="s">
        <v>68</v>
      </c>
    </row>
    <row r="4" spans="1:25" ht="68" customHeight="1" x14ac:dyDescent="0.35">
      <c r="A4" s="6"/>
      <c r="B4" s="20"/>
      <c r="C4" s="139" t="s">
        <v>165</v>
      </c>
      <c r="D4" s="140" t="s">
        <v>166</v>
      </c>
      <c r="E4" s="68" t="s">
        <v>167</v>
      </c>
      <c r="F4" s="18"/>
      <c r="G4" s="52"/>
      <c r="H4" s="6" t="s">
        <v>81</v>
      </c>
      <c r="I4" s="24"/>
      <c r="J4" s="64">
        <v>414</v>
      </c>
      <c r="L4" s="6" t="s">
        <v>67</v>
      </c>
      <c r="M4" s="6">
        <f>COUNTIFS(L4,"R")</f>
        <v>0</v>
      </c>
      <c r="N4" s="6">
        <f>COUNTIFS(L4,"Y")</f>
        <v>0</v>
      </c>
      <c r="O4" s="6">
        <f>COUNTIFS(L4,"G")</f>
        <v>0</v>
      </c>
      <c r="P4" s="6">
        <f>COUNTIFS(L4,"B")</f>
        <v>1</v>
      </c>
      <c r="Q4" s="19"/>
      <c r="R4" s="6" t="s">
        <v>20</v>
      </c>
      <c r="T4" s="6" t="s">
        <v>66</v>
      </c>
      <c r="U4" s="6">
        <f>COUNTIFS(T4,"R")</f>
        <v>0</v>
      </c>
      <c r="V4" s="6">
        <f>COUNTIFS(T4,"Y")</f>
        <v>0</v>
      </c>
      <c r="W4" s="6">
        <f>COUNTIFS(T4,"G")</f>
        <v>1</v>
      </c>
      <c r="X4" s="6">
        <f>COUNTIFS(T4,"B")</f>
        <v>0</v>
      </c>
      <c r="Y4" s="19"/>
    </row>
    <row r="5" spans="1:25" ht="68" customHeight="1" x14ac:dyDescent="0.35">
      <c r="A5" s="6"/>
      <c r="B5" s="20"/>
      <c r="C5" s="139"/>
      <c r="D5" s="141"/>
      <c r="E5" s="68" t="s">
        <v>168</v>
      </c>
      <c r="F5" s="18"/>
      <c r="G5" s="52"/>
      <c r="H5" s="6" t="s">
        <v>81</v>
      </c>
      <c r="I5" s="24"/>
      <c r="J5" s="64">
        <v>384</v>
      </c>
      <c r="L5" s="6" t="s">
        <v>67</v>
      </c>
      <c r="M5" s="6">
        <f t="shared" ref="M5:M10" si="0">COUNTIFS(L5,"R")</f>
        <v>0</v>
      </c>
      <c r="N5" s="6">
        <f t="shared" ref="N5:N6" si="1">COUNTIFS(L5,"Y")</f>
        <v>0</v>
      </c>
      <c r="O5" s="6">
        <f t="shared" ref="O5:O6" si="2">COUNTIFS(L5,"G")</f>
        <v>0</v>
      </c>
      <c r="P5" s="6">
        <f t="shared" ref="P5:P6" si="3">COUNTIFS(L5,"B")</f>
        <v>1</v>
      </c>
      <c r="Q5" s="19"/>
      <c r="R5" s="6" t="s">
        <v>20</v>
      </c>
      <c r="T5" s="6" t="s">
        <v>66</v>
      </c>
      <c r="U5" s="6">
        <f t="shared" ref="U5:U10" si="4">COUNTIFS(T5,"R")</f>
        <v>0</v>
      </c>
      <c r="V5" s="6">
        <f t="shared" ref="V5:V6" si="5">COUNTIFS(T5,"Y")</f>
        <v>0</v>
      </c>
      <c r="W5" s="6">
        <f t="shared" ref="W5:W6" si="6">COUNTIFS(T5,"G")</f>
        <v>1</v>
      </c>
      <c r="X5" s="6">
        <f t="shared" ref="X5:X6" si="7">COUNTIFS(T5,"B")</f>
        <v>0</v>
      </c>
      <c r="Y5" s="19"/>
    </row>
    <row r="6" spans="1:25" ht="68" customHeight="1" x14ac:dyDescent="0.35">
      <c r="A6" s="6"/>
      <c r="B6" s="20"/>
      <c r="C6" s="139"/>
      <c r="D6" s="141"/>
      <c r="E6" s="68" t="s">
        <v>297</v>
      </c>
      <c r="F6" s="18"/>
      <c r="G6" s="52"/>
      <c r="H6" s="6" t="s">
        <v>172</v>
      </c>
      <c r="I6" s="24"/>
      <c r="J6" s="64">
        <v>120</v>
      </c>
      <c r="L6" s="6" t="s">
        <v>67</v>
      </c>
      <c r="M6" s="6">
        <f t="shared" si="0"/>
        <v>0</v>
      </c>
      <c r="N6" s="6">
        <f t="shared" si="1"/>
        <v>0</v>
      </c>
      <c r="O6" s="6">
        <f t="shared" si="2"/>
        <v>0</v>
      </c>
      <c r="P6" s="6">
        <f t="shared" si="3"/>
        <v>1</v>
      </c>
      <c r="Q6" s="19"/>
      <c r="R6" s="6" t="s">
        <v>20</v>
      </c>
      <c r="T6" s="6" t="s">
        <v>66</v>
      </c>
      <c r="U6" s="6">
        <f t="shared" si="4"/>
        <v>0</v>
      </c>
      <c r="V6" s="6">
        <f t="shared" si="5"/>
        <v>0</v>
      </c>
      <c r="W6" s="6">
        <f t="shared" si="6"/>
        <v>1</v>
      </c>
      <c r="X6" s="6">
        <f t="shared" si="7"/>
        <v>0</v>
      </c>
      <c r="Y6" s="19"/>
    </row>
    <row r="7" spans="1:25" ht="68" customHeight="1" x14ac:dyDescent="0.35">
      <c r="A7" s="6"/>
      <c r="B7" s="20"/>
      <c r="C7" s="139"/>
      <c r="D7" s="127" t="s">
        <v>173</v>
      </c>
      <c r="E7" s="68" t="s">
        <v>169</v>
      </c>
      <c r="F7" s="18"/>
      <c r="G7" s="52"/>
      <c r="H7" s="6" t="s">
        <v>81</v>
      </c>
      <c r="I7" s="24"/>
      <c r="J7" s="64" t="s">
        <v>298</v>
      </c>
      <c r="L7" s="6" t="s">
        <v>67</v>
      </c>
      <c r="M7" s="6">
        <f t="shared" si="0"/>
        <v>0</v>
      </c>
      <c r="N7" s="6">
        <f t="shared" ref="N7:N8" si="8">COUNTIFS(L7,"Y")</f>
        <v>0</v>
      </c>
      <c r="O7" s="6">
        <f t="shared" ref="O7:O8" si="9">COUNTIFS(L7,"G")</f>
        <v>0</v>
      </c>
      <c r="P7" s="6">
        <f t="shared" ref="P7:P8" si="10">COUNTIFS(L7,"B")</f>
        <v>1</v>
      </c>
      <c r="Q7" s="19"/>
      <c r="R7" s="6" t="s">
        <v>20</v>
      </c>
      <c r="T7" s="6" t="s">
        <v>66</v>
      </c>
      <c r="U7" s="6">
        <f t="shared" si="4"/>
        <v>0</v>
      </c>
      <c r="V7" s="6">
        <f t="shared" ref="V7:V8" si="11">COUNTIFS(T7,"Y")</f>
        <v>0</v>
      </c>
      <c r="W7" s="6">
        <f t="shared" ref="W7:W8" si="12">COUNTIFS(T7,"G")</f>
        <v>1</v>
      </c>
      <c r="X7" s="6">
        <f t="shared" ref="X7:X8" si="13">COUNTIFS(T7,"B")</f>
        <v>0</v>
      </c>
      <c r="Y7" s="19"/>
    </row>
    <row r="8" spans="1:25" ht="68" customHeight="1" x14ac:dyDescent="0.35">
      <c r="A8" s="6"/>
      <c r="B8" s="20"/>
      <c r="C8" s="139"/>
      <c r="D8" s="131"/>
      <c r="E8" s="68" t="s">
        <v>170</v>
      </c>
      <c r="F8" s="18"/>
      <c r="G8" s="52"/>
      <c r="H8" s="6" t="s">
        <v>81</v>
      </c>
      <c r="I8" s="24"/>
      <c r="J8" s="64">
        <v>476</v>
      </c>
      <c r="L8" s="6" t="s">
        <v>67</v>
      </c>
      <c r="M8" s="6">
        <f t="shared" si="0"/>
        <v>0</v>
      </c>
      <c r="N8" s="6">
        <f t="shared" si="8"/>
        <v>0</v>
      </c>
      <c r="O8" s="6">
        <f t="shared" si="9"/>
        <v>0</v>
      </c>
      <c r="P8" s="6">
        <f t="shared" si="10"/>
        <v>1</v>
      </c>
      <c r="Q8" s="19"/>
      <c r="R8" s="6" t="s">
        <v>20</v>
      </c>
      <c r="T8" s="6" t="s">
        <v>66</v>
      </c>
      <c r="U8" s="6">
        <f t="shared" si="4"/>
        <v>0</v>
      </c>
      <c r="V8" s="6">
        <f t="shared" si="11"/>
        <v>0</v>
      </c>
      <c r="W8" s="6">
        <f t="shared" si="12"/>
        <v>1</v>
      </c>
      <c r="X8" s="6">
        <f t="shared" si="13"/>
        <v>0</v>
      </c>
      <c r="Y8" s="19"/>
    </row>
    <row r="9" spans="1:25" ht="68" customHeight="1" x14ac:dyDescent="0.35">
      <c r="A9" s="6"/>
      <c r="B9" s="20"/>
      <c r="C9" s="139"/>
      <c r="D9" s="138" t="s">
        <v>174</v>
      </c>
      <c r="E9" s="68" t="s">
        <v>169</v>
      </c>
      <c r="F9" s="18"/>
      <c r="G9" s="52"/>
      <c r="H9" s="6" t="s">
        <v>71</v>
      </c>
      <c r="I9" s="24"/>
      <c r="J9" s="64">
        <v>725</v>
      </c>
      <c r="L9" s="6" t="s">
        <v>67</v>
      </c>
      <c r="M9" s="6">
        <f t="shared" si="0"/>
        <v>0</v>
      </c>
      <c r="N9" s="6">
        <f t="shared" ref="N9:N10" si="14">COUNTIFS(L9,"Y")</f>
        <v>0</v>
      </c>
      <c r="O9" s="6">
        <f t="shared" ref="O9:O10" si="15">COUNTIFS(L9,"G")</f>
        <v>0</v>
      </c>
      <c r="P9" s="6">
        <f t="shared" ref="P9:P10" si="16">COUNTIFS(L9,"B")</f>
        <v>1</v>
      </c>
      <c r="Q9" s="19"/>
      <c r="R9" s="6" t="s">
        <v>20</v>
      </c>
      <c r="T9" s="6" t="s">
        <v>66</v>
      </c>
      <c r="U9" s="6">
        <f t="shared" si="4"/>
        <v>0</v>
      </c>
      <c r="V9" s="6">
        <f t="shared" ref="V9:V10" si="17">COUNTIFS(T9,"Y")</f>
        <v>0</v>
      </c>
      <c r="W9" s="6">
        <f t="shared" ref="W9:W10" si="18">COUNTIFS(T9,"G")</f>
        <v>1</v>
      </c>
      <c r="X9" s="6">
        <f t="shared" ref="X9:X10" si="19">COUNTIFS(T9,"B")</f>
        <v>0</v>
      </c>
      <c r="Y9" s="19"/>
    </row>
    <row r="10" spans="1:25" ht="68" customHeight="1" x14ac:dyDescent="0.35">
      <c r="A10" s="6"/>
      <c r="B10" s="20"/>
      <c r="C10" s="139"/>
      <c r="D10" s="138"/>
      <c r="E10" s="68" t="s">
        <v>170</v>
      </c>
      <c r="F10" s="18"/>
      <c r="G10" s="52"/>
      <c r="H10" s="6" t="s">
        <v>71</v>
      </c>
      <c r="I10" s="24"/>
      <c r="J10" s="64">
        <v>744.6</v>
      </c>
      <c r="L10" s="6" t="s">
        <v>67</v>
      </c>
      <c r="M10" s="6">
        <f t="shared" si="0"/>
        <v>0</v>
      </c>
      <c r="N10" s="6">
        <f t="shared" si="14"/>
        <v>0</v>
      </c>
      <c r="O10" s="6">
        <f t="shared" si="15"/>
        <v>0</v>
      </c>
      <c r="P10" s="6">
        <f t="shared" si="16"/>
        <v>1</v>
      </c>
      <c r="Q10" s="19"/>
      <c r="R10" s="6" t="s">
        <v>20</v>
      </c>
      <c r="T10" s="6" t="s">
        <v>66</v>
      </c>
      <c r="U10" s="6">
        <f t="shared" si="4"/>
        <v>0</v>
      </c>
      <c r="V10" s="6">
        <f t="shared" si="17"/>
        <v>0</v>
      </c>
      <c r="W10" s="6">
        <f t="shared" si="18"/>
        <v>1</v>
      </c>
      <c r="X10" s="6">
        <f t="shared" si="19"/>
        <v>0</v>
      </c>
      <c r="Y10" s="19"/>
    </row>
  </sheetData>
  <autoFilter ref="A2:J3" xr:uid="{00000000-0009-0000-0000-000007000000}"/>
  <mergeCells count="7">
    <mergeCell ref="T1:Y1"/>
    <mergeCell ref="D7:D8"/>
    <mergeCell ref="D9:D10"/>
    <mergeCell ref="C4:C10"/>
    <mergeCell ref="D4:D6"/>
    <mergeCell ref="A1:J1"/>
    <mergeCell ref="L1:R1"/>
  </mergeCells>
  <conditionalFormatting sqref="L4:L10 T4:T10">
    <cfRule type="cellIs" dxfId="15" priority="41" operator="equal">
      <formula>"B"</formula>
    </cfRule>
    <cfRule type="cellIs" dxfId="14" priority="42" operator="equal">
      <formula>"G"</formula>
    </cfRule>
    <cfRule type="cellIs" dxfId="13" priority="43" operator="equal">
      <formula>"Y"</formula>
    </cfRule>
    <cfRule type="cellIs" dxfId="12" priority="44" operator="equal">
      <formula>"R"</formula>
    </cfRule>
  </conditionalFormatting>
  <dataValidations count="2">
    <dataValidation type="list" allowBlank="1" showInputMessage="1" showErrorMessage="1" sqref="T4:T10" xr:uid="{00000000-0002-0000-0700-000000000000}">
      <formula1>"R,Y,B,G"</formula1>
    </dataValidation>
    <dataValidation type="list" allowBlank="1" showInputMessage="1" showErrorMessage="1" sqref="L4:L10" xr:uid="{00000000-0002-0000-0700-000001000000}">
      <formula1>"R,Y,B,G,Gy"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Y15"/>
  <sheetViews>
    <sheetView topLeftCell="A9" zoomScale="80" zoomScaleNormal="80" workbookViewId="0">
      <selection activeCell="F11" sqref="F11"/>
    </sheetView>
  </sheetViews>
  <sheetFormatPr defaultColWidth="8.54296875" defaultRowHeight="14.5" x14ac:dyDescent="0.35"/>
  <cols>
    <col min="1" max="1" width="6.453125" style="2" customWidth="1"/>
    <col min="2" max="2" width="17.1796875" style="21" customWidth="1"/>
    <col min="3" max="3" width="20.36328125" style="3" customWidth="1"/>
    <col min="4" max="4" width="20.81640625" style="3" customWidth="1"/>
    <col min="5" max="5" width="24.54296875" style="8" bestFit="1" customWidth="1"/>
    <col min="6" max="6" width="19.54296875" style="8" customWidth="1"/>
    <col min="7" max="7" width="2.453125" style="3" customWidth="1"/>
    <col min="8" max="8" width="20" style="2" customWidth="1"/>
    <col min="9" max="9" width="2.54296875" style="2" customWidth="1"/>
    <col min="10" max="10" width="27.54296875" style="4" customWidth="1"/>
    <col min="11" max="11" width="8.54296875" style="3"/>
    <col min="12" max="12" width="13.54296875" style="3" bestFit="1" customWidth="1"/>
    <col min="13" max="16" width="8.54296875" style="3"/>
    <col min="17" max="17" width="47.7265625" style="8" customWidth="1"/>
    <col min="18" max="19" width="8.54296875" style="3"/>
    <col min="20" max="20" width="13.54296875" style="3" bestFit="1" customWidth="1"/>
    <col min="21" max="24" width="8.54296875" style="3"/>
    <col min="25" max="25" width="35.08984375" style="61" customWidth="1"/>
    <col min="26" max="16384" width="8.54296875" style="3"/>
  </cols>
  <sheetData>
    <row r="1" spans="1:25" ht="26.15" customHeight="1" x14ac:dyDescent="0.35">
      <c r="A1" s="101" t="s">
        <v>75</v>
      </c>
      <c r="B1" s="101"/>
      <c r="C1" s="101"/>
      <c r="D1" s="101"/>
      <c r="E1" s="101"/>
      <c r="F1" s="101"/>
      <c r="G1" s="101"/>
      <c r="H1" s="101"/>
      <c r="I1" s="101"/>
      <c r="J1" s="101"/>
      <c r="L1" s="100" t="s">
        <v>76</v>
      </c>
      <c r="M1" s="100"/>
      <c r="N1" s="100"/>
      <c r="O1" s="100"/>
      <c r="P1" s="100"/>
      <c r="Q1" s="100"/>
      <c r="R1" s="100"/>
      <c r="T1" s="100" t="s">
        <v>54</v>
      </c>
      <c r="U1" s="100"/>
      <c r="V1" s="100"/>
      <c r="W1" s="100"/>
      <c r="X1" s="100"/>
      <c r="Y1" s="100"/>
    </row>
    <row r="2" spans="1:25" x14ac:dyDescent="0.35">
      <c r="A2" s="14" t="s">
        <v>5</v>
      </c>
      <c r="B2" s="14" t="s">
        <v>55</v>
      </c>
      <c r="C2" s="14" t="s">
        <v>56</v>
      </c>
      <c r="D2" s="14" t="s">
        <v>57</v>
      </c>
      <c r="E2" s="15" t="s">
        <v>58</v>
      </c>
      <c r="F2" s="15" t="s">
        <v>59</v>
      </c>
      <c r="G2" s="16"/>
      <c r="H2" s="14" t="s">
        <v>60</v>
      </c>
      <c r="I2" s="16" t="s">
        <v>5</v>
      </c>
      <c r="J2" s="15" t="s">
        <v>12</v>
      </c>
      <c r="L2" s="31" t="s">
        <v>61</v>
      </c>
      <c r="M2" s="6">
        <f>SUM(M4:M192)</f>
        <v>0</v>
      </c>
      <c r="N2" s="6">
        <f>SUM(N4:N192)</f>
        <v>0</v>
      </c>
      <c r="O2" s="6">
        <f>SUM(O4:O192)</f>
        <v>0</v>
      </c>
      <c r="P2" s="6">
        <f>SUM(P4:P192)</f>
        <v>10</v>
      </c>
      <c r="Q2" s="4"/>
      <c r="R2" s="63"/>
      <c r="T2" s="31" t="s">
        <v>61</v>
      </c>
      <c r="U2" s="6">
        <f>SUM(U4:U192)</f>
        <v>0</v>
      </c>
      <c r="V2" s="6">
        <f>SUM(V4:V192)</f>
        <v>0</v>
      </c>
      <c r="W2" s="6">
        <f>SUM(W4:W192)</f>
        <v>10</v>
      </c>
      <c r="X2" s="6">
        <f>SUM(X4:X192)</f>
        <v>0</v>
      </c>
      <c r="Y2" s="19"/>
    </row>
    <row r="3" spans="1:25" ht="21" customHeight="1" x14ac:dyDescent="0.35">
      <c r="A3" s="6"/>
      <c r="B3" s="22" t="s">
        <v>187</v>
      </c>
      <c r="C3" s="5"/>
      <c r="D3" s="5"/>
      <c r="E3" s="18"/>
      <c r="F3" s="18"/>
      <c r="G3" s="5"/>
      <c r="H3" s="6"/>
      <c r="I3" s="6"/>
      <c r="J3" s="19"/>
      <c r="L3" s="6" t="s">
        <v>63</v>
      </c>
      <c r="M3" s="32" t="s">
        <v>64</v>
      </c>
      <c r="N3" s="33" t="s">
        <v>65</v>
      </c>
      <c r="O3" s="34" t="s">
        <v>66</v>
      </c>
      <c r="P3" s="35" t="s">
        <v>67</v>
      </c>
      <c r="Q3" s="67" t="s">
        <v>68</v>
      </c>
      <c r="R3" s="63" t="s">
        <v>73</v>
      </c>
      <c r="T3" s="6" t="s">
        <v>63</v>
      </c>
      <c r="U3" s="32" t="s">
        <v>64</v>
      </c>
      <c r="V3" s="33" t="s">
        <v>65</v>
      </c>
      <c r="W3" s="34" t="s">
        <v>66</v>
      </c>
      <c r="X3" s="35" t="s">
        <v>67</v>
      </c>
      <c r="Y3" s="19" t="s">
        <v>68</v>
      </c>
    </row>
    <row r="4" spans="1:25" ht="57" customHeight="1" x14ac:dyDescent="0.35">
      <c r="A4" s="6"/>
      <c r="B4" s="74"/>
      <c r="C4" s="68" t="s">
        <v>176</v>
      </c>
      <c r="D4" s="68" t="s">
        <v>177</v>
      </c>
      <c r="E4" s="68" t="s">
        <v>178</v>
      </c>
      <c r="F4" s="82"/>
      <c r="G4" s="82"/>
      <c r="H4" s="68" t="s">
        <v>188</v>
      </c>
      <c r="I4" s="82"/>
      <c r="J4" s="6" t="s">
        <v>286</v>
      </c>
      <c r="L4" s="6" t="s">
        <v>67</v>
      </c>
      <c r="M4" s="6">
        <f>COUNTIFS(L4,"R")</f>
        <v>0</v>
      </c>
      <c r="N4" s="6">
        <f>COUNTIFS(L4,"Y")</f>
        <v>0</v>
      </c>
      <c r="O4" s="6">
        <f>COUNTIFS(L4,"G")</f>
        <v>0</v>
      </c>
      <c r="P4" s="6">
        <f>COUNTIFS(L4,"B")</f>
        <v>1</v>
      </c>
      <c r="Q4" s="18"/>
      <c r="R4" s="6" t="s">
        <v>20</v>
      </c>
      <c r="T4" s="6" t="s">
        <v>66</v>
      </c>
      <c r="U4" s="6">
        <f>COUNTIFS(T4,"R")</f>
        <v>0</v>
      </c>
      <c r="V4" s="6">
        <f>COUNTIFS(T4,"Y")</f>
        <v>0</v>
      </c>
      <c r="W4" s="6">
        <f>COUNTIFS(T4,"G")</f>
        <v>1</v>
      </c>
      <c r="X4" s="6">
        <f>COUNTIFS(T4,"B")</f>
        <v>0</v>
      </c>
      <c r="Y4" s="18"/>
    </row>
    <row r="5" spans="1:25" ht="57" customHeight="1" x14ac:dyDescent="0.35">
      <c r="A5" s="6"/>
      <c r="B5" s="74"/>
      <c r="C5" s="68"/>
      <c r="D5" s="68" t="s">
        <v>179</v>
      </c>
      <c r="E5" s="68" t="s">
        <v>180</v>
      </c>
      <c r="F5" s="82"/>
      <c r="G5" s="82"/>
      <c r="H5" s="68" t="s">
        <v>189</v>
      </c>
      <c r="I5" s="82"/>
      <c r="J5" s="6" t="s">
        <v>294</v>
      </c>
      <c r="L5" s="6" t="s">
        <v>67</v>
      </c>
      <c r="M5" s="6">
        <f t="shared" ref="M5:M11" si="0">COUNTIFS(L5,"R")</f>
        <v>0</v>
      </c>
      <c r="N5" s="6">
        <f t="shared" ref="N5:N11" si="1">COUNTIFS(L5,"Y")</f>
        <v>0</v>
      </c>
      <c r="O5" s="6">
        <f t="shared" ref="O5:O11" si="2">COUNTIFS(L5,"G")</f>
        <v>0</v>
      </c>
      <c r="P5" s="6">
        <f t="shared" ref="P5:P11" si="3">COUNTIFS(L5,"B")</f>
        <v>1</v>
      </c>
      <c r="Q5" s="18"/>
      <c r="R5" s="6" t="s">
        <v>20</v>
      </c>
      <c r="T5" s="6" t="s">
        <v>66</v>
      </c>
      <c r="U5" s="6">
        <f t="shared" ref="U5:U11" si="4">COUNTIFS(T5,"R")</f>
        <v>0</v>
      </c>
      <c r="V5" s="6">
        <f t="shared" ref="V5:V11" si="5">COUNTIFS(T5,"Y")</f>
        <v>0</v>
      </c>
      <c r="W5" s="6">
        <f t="shared" ref="W5:W11" si="6">COUNTIFS(T5,"G")</f>
        <v>1</v>
      </c>
      <c r="X5" s="6">
        <f t="shared" ref="X5:X11" si="7">COUNTIFS(T5,"B")</f>
        <v>0</v>
      </c>
      <c r="Y5" s="18"/>
    </row>
    <row r="6" spans="1:25" ht="57" customHeight="1" x14ac:dyDescent="0.35">
      <c r="A6" s="6"/>
      <c r="B6" s="74"/>
      <c r="C6" s="68"/>
      <c r="D6" s="68"/>
      <c r="E6" s="68" t="s">
        <v>181</v>
      </c>
      <c r="F6" s="82"/>
      <c r="G6" s="82"/>
      <c r="H6" s="68" t="s">
        <v>189</v>
      </c>
      <c r="I6" s="82"/>
      <c r="J6" s="6" t="s">
        <v>294</v>
      </c>
      <c r="L6" s="6" t="s">
        <v>67</v>
      </c>
      <c r="M6" s="6">
        <f t="shared" si="0"/>
        <v>0</v>
      </c>
      <c r="N6" s="6">
        <f t="shared" ref="N6:N8" si="8">COUNTIFS(L6,"Y")</f>
        <v>0</v>
      </c>
      <c r="O6" s="6">
        <f t="shared" ref="O6:O8" si="9">COUNTIFS(L6,"G")</f>
        <v>0</v>
      </c>
      <c r="P6" s="6">
        <f t="shared" ref="P6:P8" si="10">COUNTIFS(L6,"B")</f>
        <v>1</v>
      </c>
      <c r="Q6" s="18"/>
      <c r="R6" s="6" t="s">
        <v>20</v>
      </c>
      <c r="T6" s="6" t="s">
        <v>66</v>
      </c>
      <c r="U6" s="6">
        <f t="shared" si="4"/>
        <v>0</v>
      </c>
      <c r="V6" s="6">
        <f t="shared" ref="V6:V8" si="11">COUNTIFS(T6,"Y")</f>
        <v>0</v>
      </c>
      <c r="W6" s="6">
        <f t="shared" ref="W6:W8" si="12">COUNTIFS(T6,"G")</f>
        <v>1</v>
      </c>
      <c r="X6" s="6">
        <f t="shared" ref="X6:X8" si="13">COUNTIFS(T6,"B")</f>
        <v>0</v>
      </c>
      <c r="Y6" s="18"/>
    </row>
    <row r="7" spans="1:25" ht="57" customHeight="1" x14ac:dyDescent="0.35">
      <c r="A7" s="6"/>
      <c r="B7" s="74"/>
      <c r="C7" s="68"/>
      <c r="D7" s="68"/>
      <c r="E7" s="68" t="s">
        <v>182</v>
      </c>
      <c r="F7" s="82"/>
      <c r="G7" s="82"/>
      <c r="H7" s="68" t="s">
        <v>189</v>
      </c>
      <c r="I7" s="82"/>
      <c r="J7" s="6" t="s">
        <v>294</v>
      </c>
      <c r="L7" s="6" t="s">
        <v>67</v>
      </c>
      <c r="M7" s="6">
        <f t="shared" si="0"/>
        <v>0</v>
      </c>
      <c r="N7" s="6">
        <f t="shared" si="8"/>
        <v>0</v>
      </c>
      <c r="O7" s="6">
        <f t="shared" si="9"/>
        <v>0</v>
      </c>
      <c r="P7" s="6">
        <f t="shared" si="10"/>
        <v>1</v>
      </c>
      <c r="Q7" s="18"/>
      <c r="R7" s="6" t="s">
        <v>20</v>
      </c>
      <c r="T7" s="6" t="s">
        <v>66</v>
      </c>
      <c r="U7" s="6">
        <f t="shared" si="4"/>
        <v>0</v>
      </c>
      <c r="V7" s="6">
        <f t="shared" si="11"/>
        <v>0</v>
      </c>
      <c r="W7" s="6">
        <f t="shared" si="12"/>
        <v>1</v>
      </c>
      <c r="X7" s="6">
        <f t="shared" si="13"/>
        <v>0</v>
      </c>
      <c r="Y7" s="18"/>
    </row>
    <row r="8" spans="1:25" ht="57" customHeight="1" x14ac:dyDescent="0.35">
      <c r="A8" s="6"/>
      <c r="B8" s="74"/>
      <c r="C8" s="68"/>
      <c r="D8" s="68" t="s">
        <v>183</v>
      </c>
      <c r="E8" s="68" t="s">
        <v>184</v>
      </c>
      <c r="F8" s="82"/>
      <c r="G8" s="82"/>
      <c r="H8" s="68" t="s">
        <v>189</v>
      </c>
      <c r="I8" s="82"/>
      <c r="J8" s="6" t="s">
        <v>294</v>
      </c>
      <c r="L8" s="6" t="s">
        <v>67</v>
      </c>
      <c r="M8" s="6">
        <f t="shared" si="0"/>
        <v>0</v>
      </c>
      <c r="N8" s="6">
        <f t="shared" si="8"/>
        <v>0</v>
      </c>
      <c r="O8" s="6">
        <f t="shared" si="9"/>
        <v>0</v>
      </c>
      <c r="P8" s="6">
        <f t="shared" si="10"/>
        <v>1</v>
      </c>
      <c r="Q8" s="18"/>
      <c r="R8" s="6" t="s">
        <v>20</v>
      </c>
      <c r="T8" s="6" t="s">
        <v>66</v>
      </c>
      <c r="U8" s="6">
        <f t="shared" si="4"/>
        <v>0</v>
      </c>
      <c r="V8" s="6">
        <f t="shared" si="11"/>
        <v>0</v>
      </c>
      <c r="W8" s="6">
        <f t="shared" si="12"/>
        <v>1</v>
      </c>
      <c r="X8" s="6">
        <f t="shared" si="13"/>
        <v>0</v>
      </c>
      <c r="Y8" s="18"/>
    </row>
    <row r="9" spans="1:25" ht="57" customHeight="1" x14ac:dyDescent="0.35">
      <c r="A9" s="6"/>
      <c r="B9" s="74"/>
      <c r="C9" s="68"/>
      <c r="D9" s="68"/>
      <c r="E9" s="68" t="s">
        <v>185</v>
      </c>
      <c r="F9" s="82"/>
      <c r="G9" s="82"/>
      <c r="H9" s="68" t="s">
        <v>189</v>
      </c>
      <c r="I9" s="82"/>
      <c r="J9" s="6" t="s">
        <v>294</v>
      </c>
      <c r="L9" s="6" t="s">
        <v>67</v>
      </c>
      <c r="M9" s="6">
        <f t="shared" si="0"/>
        <v>0</v>
      </c>
      <c r="N9" s="6">
        <f t="shared" ref="N9:N10" si="14">COUNTIFS(L9,"Y")</f>
        <v>0</v>
      </c>
      <c r="O9" s="6">
        <f t="shared" ref="O9:O10" si="15">COUNTIFS(L9,"G")</f>
        <v>0</v>
      </c>
      <c r="P9" s="6">
        <f t="shared" ref="P9:P10" si="16">COUNTIFS(L9,"B")</f>
        <v>1</v>
      </c>
      <c r="Q9" s="18"/>
      <c r="R9" s="6" t="s">
        <v>20</v>
      </c>
      <c r="T9" s="6" t="s">
        <v>66</v>
      </c>
      <c r="U9" s="6">
        <f t="shared" si="4"/>
        <v>0</v>
      </c>
      <c r="V9" s="6">
        <f t="shared" ref="V9:V10" si="17">COUNTIFS(T9,"Y")</f>
        <v>0</v>
      </c>
      <c r="W9" s="6">
        <f t="shared" ref="W9:W10" si="18">COUNTIFS(T9,"G")</f>
        <v>1</v>
      </c>
      <c r="X9" s="6">
        <f t="shared" ref="X9:X10" si="19">COUNTIFS(T9,"B")</f>
        <v>0</v>
      </c>
      <c r="Y9" s="18"/>
    </row>
    <row r="10" spans="1:25" ht="57" customHeight="1" x14ac:dyDescent="0.35">
      <c r="A10" s="6"/>
      <c r="B10" s="74"/>
      <c r="C10" s="68" t="s">
        <v>186</v>
      </c>
      <c r="D10" s="68" t="s">
        <v>290</v>
      </c>
      <c r="E10" s="68"/>
      <c r="F10" s="82"/>
      <c r="G10" s="82"/>
      <c r="H10" s="68" t="s">
        <v>190</v>
      </c>
      <c r="I10" s="82"/>
      <c r="J10" s="6" t="s">
        <v>289</v>
      </c>
      <c r="L10" s="6" t="s">
        <v>67</v>
      </c>
      <c r="M10" s="6">
        <f t="shared" ref="M10" si="20">COUNTIFS(L10,"R")</f>
        <v>0</v>
      </c>
      <c r="N10" s="6">
        <f t="shared" si="14"/>
        <v>0</v>
      </c>
      <c r="O10" s="6">
        <f t="shared" si="15"/>
        <v>0</v>
      </c>
      <c r="P10" s="6">
        <f t="shared" si="16"/>
        <v>1</v>
      </c>
      <c r="Q10" s="18" t="s">
        <v>175</v>
      </c>
      <c r="R10" s="6" t="s">
        <v>20</v>
      </c>
      <c r="T10" s="6" t="s">
        <v>66</v>
      </c>
      <c r="U10" s="6">
        <f t="shared" ref="U10" si="21">COUNTIFS(T10,"R")</f>
        <v>0</v>
      </c>
      <c r="V10" s="6">
        <f t="shared" si="17"/>
        <v>0</v>
      </c>
      <c r="W10" s="6">
        <f t="shared" si="18"/>
        <v>1</v>
      </c>
      <c r="X10" s="6">
        <f t="shared" si="19"/>
        <v>0</v>
      </c>
      <c r="Y10" s="18"/>
    </row>
    <row r="11" spans="1:25" ht="57" customHeight="1" x14ac:dyDescent="0.35">
      <c r="A11" s="6"/>
      <c r="B11" s="74"/>
      <c r="C11" s="68"/>
      <c r="D11" s="68" t="s">
        <v>291</v>
      </c>
      <c r="E11" s="68"/>
      <c r="F11" s="82"/>
      <c r="G11" s="82"/>
      <c r="H11" s="68" t="s">
        <v>190</v>
      </c>
      <c r="I11" s="82"/>
      <c r="J11" s="6" t="s">
        <v>67</v>
      </c>
      <c r="L11" s="6" t="s">
        <v>67</v>
      </c>
      <c r="M11" s="6">
        <f t="shared" si="0"/>
        <v>0</v>
      </c>
      <c r="N11" s="6">
        <f t="shared" si="1"/>
        <v>0</v>
      </c>
      <c r="O11" s="6">
        <f t="shared" si="2"/>
        <v>0</v>
      </c>
      <c r="P11" s="6">
        <f t="shared" si="3"/>
        <v>1</v>
      </c>
      <c r="Q11" s="18" t="s">
        <v>175</v>
      </c>
      <c r="R11" s="6" t="s">
        <v>20</v>
      </c>
      <c r="T11" s="6" t="s">
        <v>66</v>
      </c>
      <c r="U11" s="6">
        <f t="shared" si="4"/>
        <v>0</v>
      </c>
      <c r="V11" s="6">
        <f t="shared" si="5"/>
        <v>0</v>
      </c>
      <c r="W11" s="6">
        <f t="shared" si="6"/>
        <v>1</v>
      </c>
      <c r="X11" s="6">
        <f t="shared" si="7"/>
        <v>0</v>
      </c>
      <c r="Y11" s="18"/>
    </row>
    <row r="12" spans="1:25" ht="57" customHeight="1" x14ac:dyDescent="0.35">
      <c r="A12" s="6"/>
      <c r="B12" s="74"/>
      <c r="C12" s="68"/>
      <c r="D12" s="68" t="s">
        <v>292</v>
      </c>
      <c r="E12" s="68"/>
      <c r="F12" s="82"/>
      <c r="G12" s="82"/>
      <c r="H12" s="68" t="s">
        <v>190</v>
      </c>
      <c r="I12" s="82"/>
      <c r="J12" s="6" t="s">
        <v>289</v>
      </c>
      <c r="L12" s="6" t="s">
        <v>67</v>
      </c>
      <c r="M12" s="6">
        <f t="shared" ref="M12:M13" si="22">COUNTIFS(L12,"R")</f>
        <v>0</v>
      </c>
      <c r="N12" s="6">
        <f t="shared" ref="N12:N13" si="23">COUNTIFS(L12,"Y")</f>
        <v>0</v>
      </c>
      <c r="O12" s="6">
        <f t="shared" ref="O12:O13" si="24">COUNTIFS(L12,"G")</f>
        <v>0</v>
      </c>
      <c r="P12" s="6">
        <f t="shared" ref="P12:P13" si="25">COUNTIFS(L12,"B")</f>
        <v>1</v>
      </c>
      <c r="Q12" s="18" t="s">
        <v>175</v>
      </c>
      <c r="R12" s="6" t="s">
        <v>20</v>
      </c>
      <c r="T12" s="6" t="s">
        <v>66</v>
      </c>
      <c r="U12" s="6">
        <f t="shared" ref="U12:U13" si="26">COUNTIFS(T12,"R")</f>
        <v>0</v>
      </c>
      <c r="V12" s="6">
        <f t="shared" ref="V12:V13" si="27">COUNTIFS(T12,"Y")</f>
        <v>0</v>
      </c>
      <c r="W12" s="6">
        <f t="shared" ref="W12:W13" si="28">COUNTIFS(T12,"G")</f>
        <v>1</v>
      </c>
      <c r="X12" s="6">
        <f t="shared" ref="X12:X13" si="29">COUNTIFS(T12,"B")</f>
        <v>0</v>
      </c>
      <c r="Y12" s="18"/>
    </row>
    <row r="13" spans="1:25" ht="57" customHeight="1" x14ac:dyDescent="0.35">
      <c r="A13" s="6"/>
      <c r="B13" s="74"/>
      <c r="C13" s="68"/>
      <c r="D13" s="68" t="s">
        <v>293</v>
      </c>
      <c r="E13" s="68"/>
      <c r="F13" s="82"/>
      <c r="G13" s="82"/>
      <c r="H13" s="68" t="s">
        <v>190</v>
      </c>
      <c r="I13" s="82"/>
      <c r="J13" s="6" t="s">
        <v>289</v>
      </c>
      <c r="L13" s="6" t="s">
        <v>67</v>
      </c>
      <c r="M13" s="6">
        <f t="shared" si="22"/>
        <v>0</v>
      </c>
      <c r="N13" s="6">
        <f t="shared" si="23"/>
        <v>0</v>
      </c>
      <c r="O13" s="6">
        <f t="shared" si="24"/>
        <v>0</v>
      </c>
      <c r="P13" s="6">
        <f t="shared" si="25"/>
        <v>1</v>
      </c>
      <c r="Q13" s="18" t="s">
        <v>175</v>
      </c>
      <c r="R13" s="6" t="s">
        <v>20</v>
      </c>
      <c r="T13" s="6" t="s">
        <v>66</v>
      </c>
      <c r="U13" s="6">
        <f t="shared" si="26"/>
        <v>0</v>
      </c>
      <c r="V13" s="6">
        <f t="shared" si="27"/>
        <v>0</v>
      </c>
      <c r="W13" s="6">
        <f t="shared" si="28"/>
        <v>1</v>
      </c>
      <c r="X13" s="6">
        <f t="shared" si="29"/>
        <v>0</v>
      </c>
      <c r="Y13" s="18"/>
    </row>
    <row r="14" spans="1:25" x14ac:dyDescent="0.35">
      <c r="H14" s="4"/>
    </row>
    <row r="15" spans="1:25" x14ac:dyDescent="0.35">
      <c r="J15" s="94"/>
    </row>
  </sheetData>
  <autoFilter ref="A2:J3" xr:uid="{00000000-0009-0000-0000-000008000000}"/>
  <mergeCells count="3">
    <mergeCell ref="T1:Y1"/>
    <mergeCell ref="A1:J1"/>
    <mergeCell ref="L1:R1"/>
  </mergeCells>
  <conditionalFormatting sqref="L4:L13 T4:T13">
    <cfRule type="cellIs" dxfId="11" priority="1" operator="equal">
      <formula>"B"</formula>
    </cfRule>
    <cfRule type="cellIs" dxfId="10" priority="2" operator="equal">
      <formula>"G"</formula>
    </cfRule>
    <cfRule type="cellIs" dxfId="9" priority="3" operator="equal">
      <formula>"Y"</formula>
    </cfRule>
    <cfRule type="cellIs" dxfId="8" priority="4" operator="equal">
      <formula>"R"</formula>
    </cfRule>
  </conditionalFormatting>
  <dataValidations count="1">
    <dataValidation type="list" allowBlank="1" showInputMessage="1" showErrorMessage="1" sqref="L4:L13 T4:T13" xr:uid="{00000000-0002-0000-0800-000000000000}">
      <formula1>"R,Y,B,G"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Y8"/>
  <sheetViews>
    <sheetView zoomScale="52" zoomScaleNormal="52" workbookViewId="0">
      <selection activeCell="D6" sqref="D6"/>
    </sheetView>
  </sheetViews>
  <sheetFormatPr defaultColWidth="8.54296875" defaultRowHeight="14.5" x14ac:dyDescent="0.35"/>
  <cols>
    <col min="1" max="1" width="6.453125" style="2" customWidth="1"/>
    <col min="2" max="2" width="21.90625" style="21" customWidth="1"/>
    <col min="3" max="3" width="36.26953125" style="3" bestFit="1" customWidth="1"/>
    <col min="4" max="4" width="32.453125" style="8" customWidth="1"/>
    <col min="5" max="5" width="16.453125" style="8" customWidth="1"/>
    <col min="6" max="6" width="19.54296875" style="8" customWidth="1"/>
    <col min="7" max="7" width="2.453125" style="3" customWidth="1"/>
    <col min="8" max="8" width="20" style="2" customWidth="1"/>
    <col min="9" max="9" width="2.54296875" style="2" customWidth="1"/>
    <col min="10" max="10" width="27.54296875" style="4" customWidth="1"/>
    <col min="11" max="11" width="8.54296875" style="3"/>
    <col min="12" max="12" width="13.54296875" style="3" bestFit="1" customWidth="1"/>
    <col min="13" max="16" width="8.54296875" style="3"/>
    <col min="17" max="17" width="39.54296875" style="8" customWidth="1"/>
    <col min="18" max="19" width="8.54296875" style="3"/>
    <col min="20" max="20" width="13.54296875" style="3" bestFit="1" customWidth="1"/>
    <col min="21" max="24" width="8.54296875" style="3"/>
    <col min="25" max="25" width="29.26953125" style="61" customWidth="1"/>
    <col min="26" max="16384" width="8.54296875" style="3"/>
  </cols>
  <sheetData>
    <row r="1" spans="1:25" ht="26.15" customHeight="1" x14ac:dyDescent="0.35">
      <c r="A1" s="101" t="s">
        <v>75</v>
      </c>
      <c r="B1" s="101"/>
      <c r="C1" s="101"/>
      <c r="D1" s="101"/>
      <c r="E1" s="101"/>
      <c r="F1" s="101"/>
      <c r="G1" s="101"/>
      <c r="H1" s="101"/>
      <c r="I1" s="101"/>
      <c r="J1" s="101"/>
      <c r="L1" s="100" t="s">
        <v>76</v>
      </c>
      <c r="M1" s="100"/>
      <c r="N1" s="100"/>
      <c r="O1" s="100"/>
      <c r="P1" s="100"/>
      <c r="Q1" s="100"/>
      <c r="R1" s="100"/>
      <c r="T1" s="100" t="s">
        <v>54</v>
      </c>
      <c r="U1" s="100"/>
      <c r="V1" s="100"/>
      <c r="W1" s="100"/>
      <c r="X1" s="100"/>
      <c r="Y1" s="100"/>
    </row>
    <row r="2" spans="1:25" x14ac:dyDescent="0.35">
      <c r="A2" s="14" t="s">
        <v>5</v>
      </c>
      <c r="B2" s="14" t="s">
        <v>55</v>
      </c>
      <c r="C2" s="14" t="s">
        <v>56</v>
      </c>
      <c r="D2" s="15" t="s">
        <v>57</v>
      </c>
      <c r="E2" s="15" t="s">
        <v>58</v>
      </c>
      <c r="F2" s="15" t="s">
        <v>59</v>
      </c>
      <c r="G2" s="16"/>
      <c r="H2" s="14" t="s">
        <v>60</v>
      </c>
      <c r="I2" s="16" t="s">
        <v>5</v>
      </c>
      <c r="J2" s="15" t="s">
        <v>12</v>
      </c>
      <c r="L2" s="31" t="s">
        <v>61</v>
      </c>
      <c r="M2" s="6">
        <f>SUM(M4:M171)</f>
        <v>0</v>
      </c>
      <c r="N2" s="6">
        <f>SUM(N4:N171)</f>
        <v>0</v>
      </c>
      <c r="O2" s="6">
        <f>SUM(O4:O171)</f>
        <v>0</v>
      </c>
      <c r="P2" s="6">
        <f>SUM(P4:P171)</f>
        <v>4</v>
      </c>
      <c r="Q2" s="4"/>
      <c r="R2" s="63"/>
      <c r="T2" s="31" t="s">
        <v>61</v>
      </c>
      <c r="U2" s="6">
        <f>SUM(U4:U171)</f>
        <v>0</v>
      </c>
      <c r="V2" s="6">
        <f>SUM(V4:V171)</f>
        <v>0</v>
      </c>
      <c r="W2" s="6">
        <f>SUM(W4:W171)</f>
        <v>4</v>
      </c>
      <c r="X2" s="6">
        <f>SUM(X4:X171)</f>
        <v>0</v>
      </c>
      <c r="Y2" s="19"/>
    </row>
    <row r="3" spans="1:25" ht="35.5" customHeight="1" x14ac:dyDescent="0.35">
      <c r="A3" s="6">
        <v>6</v>
      </c>
      <c r="B3" s="86" t="s">
        <v>191</v>
      </c>
      <c r="C3" s="5"/>
      <c r="D3" s="77"/>
      <c r="E3" s="18"/>
      <c r="F3" s="18"/>
      <c r="G3" s="5"/>
      <c r="H3" s="75"/>
      <c r="I3" s="6"/>
      <c r="J3" s="6"/>
      <c r="L3" s="6" t="s">
        <v>63</v>
      </c>
      <c r="M3" s="32" t="s">
        <v>64</v>
      </c>
      <c r="N3" s="33" t="s">
        <v>65</v>
      </c>
      <c r="O3" s="34" t="s">
        <v>66</v>
      </c>
      <c r="P3" s="35" t="s">
        <v>67</v>
      </c>
      <c r="Q3" s="67" t="s">
        <v>68</v>
      </c>
      <c r="R3" s="63" t="s">
        <v>73</v>
      </c>
      <c r="T3" s="6" t="s">
        <v>63</v>
      </c>
      <c r="U3" s="32" t="s">
        <v>64</v>
      </c>
      <c r="V3" s="33" t="s">
        <v>65</v>
      </c>
      <c r="W3" s="34" t="s">
        <v>66</v>
      </c>
      <c r="X3" s="35" t="s">
        <v>67</v>
      </c>
      <c r="Y3" s="19" t="s">
        <v>68</v>
      </c>
    </row>
    <row r="4" spans="1:25" ht="52.5" customHeight="1" x14ac:dyDescent="0.35">
      <c r="A4" s="6">
        <v>6.1</v>
      </c>
      <c r="B4" s="87"/>
      <c r="C4" s="129" t="s">
        <v>192</v>
      </c>
      <c r="D4" s="70" t="s">
        <v>193</v>
      </c>
      <c r="E4" s="70"/>
      <c r="F4" s="70"/>
      <c r="G4" s="68"/>
      <c r="H4" s="68" t="s">
        <v>197</v>
      </c>
      <c r="I4" s="68"/>
      <c r="J4" s="6" t="s">
        <v>74</v>
      </c>
      <c r="L4" s="6" t="s">
        <v>67</v>
      </c>
      <c r="M4" s="6">
        <f t="shared" ref="M4:M7" si="0">COUNTIFS(L4,"R")</f>
        <v>0</v>
      </c>
      <c r="N4" s="6">
        <f t="shared" ref="N4:N7" si="1">COUNTIFS(L4,"Y")</f>
        <v>0</v>
      </c>
      <c r="O4" s="6">
        <f t="shared" ref="O4:O7" si="2">COUNTIFS(L4,"G")</f>
        <v>0</v>
      </c>
      <c r="P4" s="6">
        <f t="shared" ref="P4:P7" si="3">COUNTIFS(L4,"B")</f>
        <v>1</v>
      </c>
      <c r="Q4" s="18"/>
      <c r="R4" s="6" t="s">
        <v>20</v>
      </c>
      <c r="T4" s="6" t="s">
        <v>66</v>
      </c>
      <c r="U4" s="6">
        <f t="shared" ref="U4:U7" si="4">COUNTIFS(T4,"R")</f>
        <v>0</v>
      </c>
      <c r="V4" s="6">
        <f t="shared" ref="V4:V7" si="5">COUNTIFS(T4,"Y")</f>
        <v>0</v>
      </c>
      <c r="W4" s="6">
        <f t="shared" ref="W4:W7" si="6">COUNTIFS(T4,"G")</f>
        <v>1</v>
      </c>
      <c r="X4" s="6">
        <f t="shared" ref="X4:X7" si="7">COUNTIFS(T4,"B")</f>
        <v>0</v>
      </c>
      <c r="Y4" s="18"/>
    </row>
    <row r="5" spans="1:25" ht="52.5" customHeight="1" x14ac:dyDescent="0.35">
      <c r="A5" s="6">
        <v>6.2</v>
      </c>
      <c r="B5" s="87"/>
      <c r="C5" s="130"/>
      <c r="D5" s="70" t="s">
        <v>194</v>
      </c>
      <c r="E5" s="70"/>
      <c r="F5" s="70"/>
      <c r="G5" s="82"/>
      <c r="H5" s="68" t="s">
        <v>197</v>
      </c>
      <c r="I5" s="82"/>
      <c r="J5" s="6" t="s">
        <v>74</v>
      </c>
      <c r="L5" s="6" t="s">
        <v>67</v>
      </c>
      <c r="M5" s="6">
        <f t="shared" si="0"/>
        <v>0</v>
      </c>
      <c r="N5" s="6">
        <f t="shared" si="1"/>
        <v>0</v>
      </c>
      <c r="O5" s="6">
        <f t="shared" si="2"/>
        <v>0</v>
      </c>
      <c r="P5" s="6">
        <f t="shared" si="3"/>
        <v>1</v>
      </c>
      <c r="Q5" s="18"/>
      <c r="R5" s="6" t="s">
        <v>20</v>
      </c>
      <c r="T5" s="6" t="s">
        <v>66</v>
      </c>
      <c r="U5" s="6">
        <f t="shared" si="4"/>
        <v>0</v>
      </c>
      <c r="V5" s="6">
        <f t="shared" si="5"/>
        <v>0</v>
      </c>
      <c r="W5" s="6">
        <f t="shared" si="6"/>
        <v>1</v>
      </c>
      <c r="X5" s="6">
        <f t="shared" si="7"/>
        <v>0</v>
      </c>
      <c r="Y5" s="18"/>
    </row>
    <row r="6" spans="1:25" ht="52.5" customHeight="1" x14ac:dyDescent="0.35">
      <c r="A6" s="6"/>
      <c r="B6" s="87"/>
      <c r="C6" s="130"/>
      <c r="D6" s="70" t="s">
        <v>195</v>
      </c>
      <c r="E6" s="70"/>
      <c r="F6" s="70"/>
      <c r="G6" s="89"/>
      <c r="H6" s="68" t="s">
        <v>198</v>
      </c>
      <c r="I6" s="89"/>
      <c r="J6" s="19" t="s">
        <v>305</v>
      </c>
      <c r="L6" s="6" t="s">
        <v>67</v>
      </c>
      <c r="M6" s="6">
        <f t="shared" ref="M6" si="8">COUNTIFS(L6,"R")</f>
        <v>0</v>
      </c>
      <c r="N6" s="6">
        <f t="shared" ref="N6" si="9">COUNTIFS(L6,"Y")</f>
        <v>0</v>
      </c>
      <c r="O6" s="6">
        <f t="shared" ref="O6" si="10">COUNTIFS(L6,"G")</f>
        <v>0</v>
      </c>
      <c r="P6" s="6">
        <f t="shared" ref="P6" si="11">COUNTIFS(L6,"B")</f>
        <v>1</v>
      </c>
      <c r="Q6" s="18"/>
      <c r="R6" s="6"/>
      <c r="T6" s="6" t="s">
        <v>66</v>
      </c>
      <c r="U6" s="6">
        <f t="shared" ref="U6" si="12">COUNTIFS(T6,"R")</f>
        <v>0</v>
      </c>
      <c r="V6" s="6">
        <f t="shared" ref="V6" si="13">COUNTIFS(T6,"Y")</f>
        <v>0</v>
      </c>
      <c r="W6" s="6">
        <f t="shared" ref="W6" si="14">COUNTIFS(T6,"G")</f>
        <v>1</v>
      </c>
      <c r="X6" s="6">
        <f t="shared" ref="X6" si="15">COUNTIFS(T6,"B")</f>
        <v>0</v>
      </c>
      <c r="Y6" s="18"/>
    </row>
    <row r="7" spans="1:25" ht="52.5" customHeight="1" x14ac:dyDescent="0.35">
      <c r="A7" s="6">
        <v>6.4</v>
      </c>
      <c r="B7" s="88"/>
      <c r="C7" s="132"/>
      <c r="D7" s="70" t="s">
        <v>196</v>
      </c>
      <c r="E7" s="70"/>
      <c r="F7" s="70"/>
      <c r="G7" s="82"/>
      <c r="H7" s="68" t="s">
        <v>198</v>
      </c>
      <c r="I7" s="82"/>
      <c r="J7" s="19" t="s">
        <v>305</v>
      </c>
      <c r="L7" s="6" t="s">
        <v>67</v>
      </c>
      <c r="M7" s="6">
        <f t="shared" si="0"/>
        <v>0</v>
      </c>
      <c r="N7" s="6">
        <f t="shared" si="1"/>
        <v>0</v>
      </c>
      <c r="O7" s="6">
        <f t="shared" si="2"/>
        <v>0</v>
      </c>
      <c r="P7" s="6">
        <f t="shared" si="3"/>
        <v>1</v>
      </c>
      <c r="Q7" s="18"/>
      <c r="R7" s="6" t="s">
        <v>20</v>
      </c>
      <c r="T7" s="6" t="s">
        <v>66</v>
      </c>
      <c r="U7" s="6">
        <f t="shared" si="4"/>
        <v>0</v>
      </c>
      <c r="V7" s="6">
        <f t="shared" si="5"/>
        <v>0</v>
      </c>
      <c r="W7" s="6">
        <f t="shared" si="6"/>
        <v>1</v>
      </c>
      <c r="X7" s="6">
        <f t="shared" si="7"/>
        <v>0</v>
      </c>
      <c r="Y7" s="18"/>
    </row>
    <row r="8" spans="1:25" x14ac:dyDescent="0.35">
      <c r="J8" s="95"/>
    </row>
  </sheetData>
  <autoFilter ref="A2:J7" xr:uid="{00000000-0009-0000-0000-000009000000}"/>
  <mergeCells count="4">
    <mergeCell ref="L1:R1"/>
    <mergeCell ref="T1:Y1"/>
    <mergeCell ref="A1:J1"/>
    <mergeCell ref="C4:C7"/>
  </mergeCells>
  <conditionalFormatting sqref="L4:L7 T4:T7">
    <cfRule type="cellIs" dxfId="7" priority="1" operator="equal">
      <formula>"B"</formula>
    </cfRule>
    <cfRule type="cellIs" dxfId="6" priority="2" operator="equal">
      <formula>"G"</formula>
    </cfRule>
    <cfRule type="cellIs" dxfId="5" priority="3" operator="equal">
      <formula>"Y"</formula>
    </cfRule>
    <cfRule type="cellIs" dxfId="4" priority="4" operator="equal">
      <formula>"R"</formula>
    </cfRule>
  </conditionalFormatting>
  <dataValidations count="1">
    <dataValidation type="list" allowBlank="1" showInputMessage="1" showErrorMessage="1" sqref="T4:T7 L4:L7" xr:uid="{00000000-0002-0000-0900-000000000000}">
      <formula1>"R,Y,B,G"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Y30"/>
  <sheetViews>
    <sheetView zoomScale="70" zoomScaleNormal="70" workbookViewId="0">
      <selection activeCell="D25" sqref="D25"/>
    </sheetView>
  </sheetViews>
  <sheetFormatPr defaultColWidth="8.54296875" defaultRowHeight="14.5" x14ac:dyDescent="0.35"/>
  <cols>
    <col min="1" max="1" width="6.453125" style="2" customWidth="1"/>
    <col min="2" max="2" width="17.81640625" style="21" customWidth="1"/>
    <col min="3" max="3" width="29.453125" style="3" customWidth="1"/>
    <col min="4" max="4" width="32.453125" style="3" customWidth="1"/>
    <col min="5" max="5" width="23.453125" style="8" customWidth="1"/>
    <col min="6" max="6" width="19.54296875" style="8" customWidth="1"/>
    <col min="7" max="7" width="2.453125" style="3" customWidth="1"/>
    <col min="8" max="8" width="20" style="2" customWidth="1"/>
    <col min="9" max="9" width="2.54296875" style="2" customWidth="1"/>
    <col min="10" max="10" width="27.54296875" style="4" customWidth="1"/>
    <col min="11" max="11" width="8.54296875" style="3"/>
    <col min="12" max="12" width="13.54296875" style="3" bestFit="1" customWidth="1"/>
    <col min="13" max="16" width="8.54296875" style="3"/>
    <col min="17" max="17" width="44.453125" style="62" customWidth="1"/>
    <col min="18" max="18" width="16.6328125" style="3" customWidth="1"/>
    <col min="19" max="19" width="8.54296875" style="3"/>
    <col min="20" max="20" width="12.26953125" style="3" bestFit="1" customWidth="1"/>
    <col min="21" max="24" width="8.54296875" style="3"/>
    <col min="25" max="25" width="25.6328125" style="8" customWidth="1"/>
    <col min="26" max="16384" width="8.54296875" style="3"/>
  </cols>
  <sheetData>
    <row r="1" spans="1:25" ht="26.15" customHeight="1" x14ac:dyDescent="0.35">
      <c r="A1" s="101" t="s">
        <v>75</v>
      </c>
      <c r="B1" s="101"/>
      <c r="C1" s="101"/>
      <c r="D1" s="101"/>
      <c r="E1" s="101"/>
      <c r="F1" s="101"/>
      <c r="G1" s="101"/>
      <c r="H1" s="101"/>
      <c r="I1" s="101"/>
      <c r="J1" s="101"/>
      <c r="L1" s="100" t="s">
        <v>76</v>
      </c>
      <c r="M1" s="100"/>
      <c r="N1" s="100"/>
      <c r="O1" s="100"/>
      <c r="P1" s="100"/>
      <c r="Q1" s="100"/>
      <c r="R1" s="100"/>
      <c r="T1" s="100" t="s">
        <v>54</v>
      </c>
      <c r="U1" s="100"/>
      <c r="V1" s="100"/>
      <c r="W1" s="100"/>
      <c r="X1" s="100"/>
      <c r="Y1" s="100"/>
    </row>
    <row r="2" spans="1:25" x14ac:dyDescent="0.35">
      <c r="A2" s="14" t="s">
        <v>5</v>
      </c>
      <c r="B2" s="14" t="s">
        <v>55</v>
      </c>
      <c r="C2" s="14" t="s">
        <v>56</v>
      </c>
      <c r="D2" s="14" t="s">
        <v>57</v>
      </c>
      <c r="E2" s="15" t="s">
        <v>58</v>
      </c>
      <c r="F2" s="15" t="s">
        <v>59</v>
      </c>
      <c r="G2" s="16"/>
      <c r="H2" s="14" t="s">
        <v>60</v>
      </c>
      <c r="I2" s="16" t="s">
        <v>5</v>
      </c>
      <c r="J2" s="15" t="s">
        <v>12</v>
      </c>
      <c r="L2" s="31" t="s">
        <v>61</v>
      </c>
      <c r="M2" s="6">
        <f>SUM(M4:M210)</f>
        <v>0</v>
      </c>
      <c r="N2" s="6">
        <f>SUM(N4:N210)</f>
        <v>0</v>
      </c>
      <c r="O2" s="6">
        <f>SUM(O4:O210)</f>
        <v>0</v>
      </c>
      <c r="P2" s="6">
        <f>SUM(P4:P210)</f>
        <v>24</v>
      </c>
      <c r="Q2" s="4"/>
      <c r="R2" s="63"/>
      <c r="T2" s="31" t="s">
        <v>61</v>
      </c>
      <c r="U2" s="6">
        <f>SUM(U4:U210)</f>
        <v>0</v>
      </c>
      <c r="V2" s="6">
        <f>SUM(V4:V210)</f>
        <v>0</v>
      </c>
      <c r="W2" s="6">
        <f>SUM(W4:W210)</f>
        <v>24</v>
      </c>
      <c r="X2" s="6">
        <f>SUM(X4:X210)</f>
        <v>0</v>
      </c>
      <c r="Y2" s="19"/>
    </row>
    <row r="3" spans="1:25" ht="21" customHeight="1" x14ac:dyDescent="0.35">
      <c r="A3" s="6"/>
      <c r="B3" s="22" t="s">
        <v>28</v>
      </c>
      <c r="C3" s="5"/>
      <c r="D3" s="5"/>
      <c r="E3" s="18"/>
      <c r="F3" s="18"/>
      <c r="G3" s="5"/>
      <c r="H3" s="6"/>
      <c r="I3" s="6"/>
      <c r="J3" s="19"/>
      <c r="L3" s="6" t="s">
        <v>63</v>
      </c>
      <c r="M3" s="32" t="s">
        <v>64</v>
      </c>
      <c r="N3" s="33" t="s">
        <v>65</v>
      </c>
      <c r="O3" s="34" t="s">
        <v>66</v>
      </c>
      <c r="P3" s="35" t="s">
        <v>67</v>
      </c>
      <c r="Q3" s="67" t="s">
        <v>68</v>
      </c>
      <c r="R3" s="63" t="s">
        <v>73</v>
      </c>
      <c r="T3" s="6" t="s">
        <v>63</v>
      </c>
      <c r="U3" s="32" t="s">
        <v>64</v>
      </c>
      <c r="V3" s="33" t="s">
        <v>65</v>
      </c>
      <c r="W3" s="34" t="s">
        <v>66</v>
      </c>
      <c r="X3" s="35" t="s">
        <v>67</v>
      </c>
      <c r="Y3" s="19" t="s">
        <v>68</v>
      </c>
    </row>
    <row r="4" spans="1:25" ht="29" customHeight="1" x14ac:dyDescent="0.35">
      <c r="A4" s="6"/>
      <c r="B4" s="20"/>
      <c r="C4" s="68" t="s">
        <v>199</v>
      </c>
      <c r="D4" s="68" t="s">
        <v>200</v>
      </c>
      <c r="E4" s="81"/>
      <c r="F4" s="81"/>
      <c r="G4" s="82"/>
      <c r="H4" s="68" t="s">
        <v>171</v>
      </c>
      <c r="I4" s="24"/>
      <c r="J4" s="19" t="s">
        <v>272</v>
      </c>
      <c r="L4" s="6" t="s">
        <v>67</v>
      </c>
      <c r="M4" s="6">
        <f>COUNTIFS(L4,"R")</f>
        <v>0</v>
      </c>
      <c r="N4" s="6">
        <f>COUNTIFS(L4,"Y")</f>
        <v>0</v>
      </c>
      <c r="O4" s="6">
        <f>COUNTIFS(L4,"G")</f>
        <v>0</v>
      </c>
      <c r="P4" s="6">
        <f>COUNTIFS(L4,"B")</f>
        <v>1</v>
      </c>
      <c r="Q4" s="18"/>
      <c r="R4" s="6"/>
      <c r="T4" s="6" t="s">
        <v>66</v>
      </c>
      <c r="U4" s="6">
        <f>COUNTIFS(T4,"R")</f>
        <v>0</v>
      </c>
      <c r="V4" s="6">
        <f>COUNTIFS(T4,"Y")</f>
        <v>0</v>
      </c>
      <c r="W4" s="6">
        <f>COUNTIFS(T4,"G")</f>
        <v>1</v>
      </c>
      <c r="X4" s="6">
        <f>COUNTIFS(T4,"B")</f>
        <v>0</v>
      </c>
      <c r="Y4" s="73"/>
    </row>
    <row r="5" spans="1:25" ht="29" customHeight="1" x14ac:dyDescent="0.35">
      <c r="A5" s="6"/>
      <c r="B5" s="20"/>
      <c r="C5" s="142" t="s">
        <v>231</v>
      </c>
      <c r="D5" s="68" t="s">
        <v>201</v>
      </c>
      <c r="E5" s="81"/>
      <c r="F5" s="81"/>
      <c r="G5" s="82"/>
      <c r="H5" s="68" t="s">
        <v>205</v>
      </c>
      <c r="I5" s="24"/>
      <c r="J5" s="19" t="s">
        <v>272</v>
      </c>
      <c r="L5" s="6" t="s">
        <v>67</v>
      </c>
      <c r="M5" s="6">
        <f t="shared" ref="M5:M14" si="0">COUNTIFS(L5,"R")</f>
        <v>0</v>
      </c>
      <c r="N5" s="6">
        <f t="shared" ref="N5:N14" si="1">COUNTIFS(L5,"Y")</f>
        <v>0</v>
      </c>
      <c r="O5" s="6">
        <f t="shared" ref="O5:O14" si="2">COUNTIFS(L5,"G")</f>
        <v>0</v>
      </c>
      <c r="P5" s="6">
        <f t="shared" ref="P5:P14" si="3">COUNTIFS(L5,"B")</f>
        <v>1</v>
      </c>
      <c r="Q5" s="18"/>
      <c r="R5" s="6"/>
      <c r="T5" s="6" t="s">
        <v>66</v>
      </c>
      <c r="U5" s="6">
        <f t="shared" ref="U5:U14" si="4">COUNTIFS(T5,"R")</f>
        <v>0</v>
      </c>
      <c r="V5" s="6">
        <f t="shared" ref="V5:V14" si="5">COUNTIFS(T5,"Y")</f>
        <v>0</v>
      </c>
      <c r="W5" s="6">
        <f t="shared" ref="W5:W14" si="6">COUNTIFS(T5,"G")</f>
        <v>1</v>
      </c>
      <c r="X5" s="6">
        <f t="shared" ref="X5:X14" si="7">COUNTIFS(T5,"B")</f>
        <v>0</v>
      </c>
      <c r="Y5" s="73"/>
    </row>
    <row r="6" spans="1:25" ht="29" customHeight="1" x14ac:dyDescent="0.35">
      <c r="A6" s="6"/>
      <c r="B6" s="20"/>
      <c r="C6" s="143"/>
      <c r="D6" s="68" t="s">
        <v>202</v>
      </c>
      <c r="E6" s="81"/>
      <c r="F6" s="81"/>
      <c r="G6" s="82"/>
      <c r="H6" s="68" t="s">
        <v>171</v>
      </c>
      <c r="I6" s="24"/>
      <c r="J6" s="19" t="s">
        <v>272</v>
      </c>
      <c r="L6" s="6" t="s">
        <v>67</v>
      </c>
      <c r="M6" s="6">
        <f t="shared" si="0"/>
        <v>0</v>
      </c>
      <c r="N6" s="6">
        <f t="shared" si="1"/>
        <v>0</v>
      </c>
      <c r="O6" s="6">
        <f t="shared" si="2"/>
        <v>0</v>
      </c>
      <c r="P6" s="6">
        <f t="shared" si="3"/>
        <v>1</v>
      </c>
      <c r="Q6" s="18"/>
      <c r="R6" s="6"/>
      <c r="T6" s="6" t="s">
        <v>66</v>
      </c>
      <c r="U6" s="6">
        <f t="shared" si="4"/>
        <v>0</v>
      </c>
      <c r="V6" s="6">
        <f t="shared" si="5"/>
        <v>0</v>
      </c>
      <c r="W6" s="6">
        <f t="shared" si="6"/>
        <v>1</v>
      </c>
      <c r="X6" s="6">
        <f t="shared" si="7"/>
        <v>0</v>
      </c>
      <c r="Y6" s="73"/>
    </row>
    <row r="7" spans="1:25" ht="29" customHeight="1" x14ac:dyDescent="0.35">
      <c r="A7" s="6"/>
      <c r="B7" s="20"/>
      <c r="C7" s="143"/>
      <c r="D7" s="142" t="s">
        <v>203</v>
      </c>
      <c r="E7" s="68" t="s">
        <v>230</v>
      </c>
      <c r="F7" s="81"/>
      <c r="G7" s="82"/>
      <c r="H7" s="68" t="s">
        <v>206</v>
      </c>
      <c r="I7" s="24"/>
      <c r="J7" s="19" t="s">
        <v>273</v>
      </c>
      <c r="L7" s="6" t="s">
        <v>67</v>
      </c>
      <c r="M7" s="6">
        <f t="shared" si="0"/>
        <v>0</v>
      </c>
      <c r="N7" s="6">
        <f t="shared" si="1"/>
        <v>0</v>
      </c>
      <c r="O7" s="6">
        <f t="shared" si="2"/>
        <v>0</v>
      </c>
      <c r="P7" s="6">
        <f t="shared" si="3"/>
        <v>1</v>
      </c>
      <c r="Q7" s="18"/>
      <c r="R7" s="6"/>
      <c r="T7" s="6" t="s">
        <v>66</v>
      </c>
      <c r="U7" s="6">
        <f t="shared" si="4"/>
        <v>0</v>
      </c>
      <c r="V7" s="6">
        <f t="shared" si="5"/>
        <v>0</v>
      </c>
      <c r="W7" s="6">
        <f t="shared" si="6"/>
        <v>1</v>
      </c>
      <c r="X7" s="6">
        <f t="shared" si="7"/>
        <v>0</v>
      </c>
      <c r="Y7" s="73"/>
    </row>
    <row r="8" spans="1:25" ht="29" customHeight="1" x14ac:dyDescent="0.35">
      <c r="A8" s="6"/>
      <c r="B8" s="20"/>
      <c r="C8" s="143"/>
      <c r="D8" s="144"/>
      <c r="E8" s="68" t="s">
        <v>204</v>
      </c>
      <c r="F8" s="81"/>
      <c r="G8" s="82"/>
      <c r="H8" s="68" t="s">
        <v>206</v>
      </c>
      <c r="I8" s="24"/>
      <c r="J8" s="19" t="s">
        <v>273</v>
      </c>
      <c r="L8" s="6" t="s">
        <v>67</v>
      </c>
      <c r="M8" s="6">
        <f t="shared" si="0"/>
        <v>0</v>
      </c>
      <c r="N8" s="6">
        <f t="shared" si="1"/>
        <v>0</v>
      </c>
      <c r="O8" s="6">
        <f t="shared" si="2"/>
        <v>0</v>
      </c>
      <c r="P8" s="6">
        <f t="shared" si="3"/>
        <v>1</v>
      </c>
      <c r="Q8" s="18"/>
      <c r="R8" s="6"/>
      <c r="T8" s="6" t="s">
        <v>66</v>
      </c>
      <c r="U8" s="6">
        <f t="shared" si="4"/>
        <v>0</v>
      </c>
      <c r="V8" s="6">
        <f t="shared" si="5"/>
        <v>0</v>
      </c>
      <c r="W8" s="6">
        <f t="shared" si="6"/>
        <v>1</v>
      </c>
      <c r="X8" s="6">
        <f t="shared" si="7"/>
        <v>0</v>
      </c>
      <c r="Y8" s="73"/>
    </row>
    <row r="9" spans="1:25" ht="29" customHeight="1" x14ac:dyDescent="0.35">
      <c r="A9" s="6"/>
      <c r="B9" s="20"/>
      <c r="C9" s="143"/>
      <c r="D9" s="142" t="s">
        <v>207</v>
      </c>
      <c r="E9" s="68" t="s">
        <v>208</v>
      </c>
      <c r="F9" s="81"/>
      <c r="G9" s="82"/>
      <c r="H9" s="68" t="s">
        <v>80</v>
      </c>
      <c r="I9" s="24"/>
      <c r="J9" s="19" t="s">
        <v>274</v>
      </c>
      <c r="L9" s="6" t="s">
        <v>67</v>
      </c>
      <c r="M9" s="6">
        <f t="shared" si="0"/>
        <v>0</v>
      </c>
      <c r="N9" s="6">
        <f t="shared" si="1"/>
        <v>0</v>
      </c>
      <c r="O9" s="6">
        <f t="shared" si="2"/>
        <v>0</v>
      </c>
      <c r="P9" s="6">
        <f t="shared" si="3"/>
        <v>1</v>
      </c>
      <c r="Q9" s="18"/>
      <c r="R9" s="6"/>
      <c r="T9" s="6" t="s">
        <v>66</v>
      </c>
      <c r="U9" s="6">
        <f t="shared" si="4"/>
        <v>0</v>
      </c>
      <c r="V9" s="6">
        <f t="shared" si="5"/>
        <v>0</v>
      </c>
      <c r="W9" s="6">
        <f t="shared" si="6"/>
        <v>1</v>
      </c>
      <c r="X9" s="6">
        <f t="shared" si="7"/>
        <v>0</v>
      </c>
      <c r="Y9" s="73"/>
    </row>
    <row r="10" spans="1:25" ht="29" customHeight="1" x14ac:dyDescent="0.35">
      <c r="A10" s="6"/>
      <c r="B10" s="20"/>
      <c r="C10" s="143"/>
      <c r="D10" s="144"/>
      <c r="E10" s="68" t="s">
        <v>172</v>
      </c>
      <c r="F10" s="81"/>
      <c r="G10" s="82"/>
      <c r="H10" s="68" t="s">
        <v>80</v>
      </c>
      <c r="I10" s="24"/>
      <c r="J10" s="19" t="s">
        <v>274</v>
      </c>
      <c r="L10" s="6" t="s">
        <v>67</v>
      </c>
      <c r="M10" s="6">
        <f t="shared" si="0"/>
        <v>0</v>
      </c>
      <c r="N10" s="6">
        <f t="shared" si="1"/>
        <v>0</v>
      </c>
      <c r="O10" s="6">
        <f t="shared" si="2"/>
        <v>0</v>
      </c>
      <c r="P10" s="6">
        <f t="shared" si="3"/>
        <v>1</v>
      </c>
      <c r="Q10" s="18"/>
      <c r="R10" s="6"/>
      <c r="T10" s="6" t="s">
        <v>66</v>
      </c>
      <c r="U10" s="6">
        <f t="shared" si="4"/>
        <v>0</v>
      </c>
      <c r="V10" s="6">
        <f t="shared" si="5"/>
        <v>0</v>
      </c>
      <c r="W10" s="6">
        <f t="shared" si="6"/>
        <v>1</v>
      </c>
      <c r="X10" s="6">
        <f t="shared" si="7"/>
        <v>0</v>
      </c>
      <c r="Y10" s="73"/>
    </row>
    <row r="11" spans="1:25" ht="29" customHeight="1" x14ac:dyDescent="0.35">
      <c r="A11" s="6"/>
      <c r="B11" s="20"/>
      <c r="C11" s="143"/>
      <c r="D11" s="142" t="s">
        <v>209</v>
      </c>
      <c r="E11" s="68" t="s">
        <v>210</v>
      </c>
      <c r="F11" s="81"/>
      <c r="G11" s="82"/>
      <c r="H11" s="68" t="s">
        <v>139</v>
      </c>
      <c r="I11" s="24"/>
      <c r="J11" s="19" t="s">
        <v>275</v>
      </c>
      <c r="L11" s="6" t="s">
        <v>67</v>
      </c>
      <c r="M11" s="6">
        <f t="shared" si="0"/>
        <v>0</v>
      </c>
      <c r="N11" s="6">
        <f t="shared" si="1"/>
        <v>0</v>
      </c>
      <c r="O11" s="6">
        <f t="shared" si="2"/>
        <v>0</v>
      </c>
      <c r="P11" s="6">
        <f t="shared" si="3"/>
        <v>1</v>
      </c>
      <c r="Q11" s="18"/>
      <c r="R11" s="6"/>
      <c r="T11" s="6" t="s">
        <v>66</v>
      </c>
      <c r="U11" s="6">
        <f t="shared" si="4"/>
        <v>0</v>
      </c>
      <c r="V11" s="6">
        <f t="shared" si="5"/>
        <v>0</v>
      </c>
      <c r="W11" s="6">
        <f t="shared" si="6"/>
        <v>1</v>
      </c>
      <c r="X11" s="6">
        <f t="shared" si="7"/>
        <v>0</v>
      </c>
      <c r="Y11" s="73"/>
    </row>
    <row r="12" spans="1:25" ht="29" customHeight="1" x14ac:dyDescent="0.35">
      <c r="A12" s="6"/>
      <c r="B12" s="20"/>
      <c r="C12" s="143"/>
      <c r="D12" s="143"/>
      <c r="E12" s="68" t="s">
        <v>211</v>
      </c>
      <c r="F12" s="81"/>
      <c r="G12" s="82"/>
      <c r="H12" s="68" t="s">
        <v>139</v>
      </c>
      <c r="I12" s="24"/>
      <c r="J12" s="19" t="s">
        <v>276</v>
      </c>
      <c r="L12" s="6" t="s">
        <v>67</v>
      </c>
      <c r="M12" s="6">
        <f t="shared" si="0"/>
        <v>0</v>
      </c>
      <c r="N12" s="6">
        <f t="shared" si="1"/>
        <v>0</v>
      </c>
      <c r="O12" s="6">
        <f t="shared" si="2"/>
        <v>0</v>
      </c>
      <c r="P12" s="6">
        <f t="shared" si="3"/>
        <v>1</v>
      </c>
      <c r="Q12" s="18"/>
      <c r="R12" s="6"/>
      <c r="T12" s="6" t="s">
        <v>66</v>
      </c>
      <c r="U12" s="6">
        <f t="shared" si="4"/>
        <v>0</v>
      </c>
      <c r="V12" s="6">
        <f t="shared" si="5"/>
        <v>0</v>
      </c>
      <c r="W12" s="6">
        <f t="shared" si="6"/>
        <v>1</v>
      </c>
      <c r="X12" s="6">
        <f t="shared" si="7"/>
        <v>0</v>
      </c>
      <c r="Y12" s="73"/>
    </row>
    <row r="13" spans="1:25" ht="29" customHeight="1" x14ac:dyDescent="0.35">
      <c r="A13" s="6"/>
      <c r="B13" s="20"/>
      <c r="C13" s="143"/>
      <c r="D13" s="143"/>
      <c r="E13" s="68" t="s">
        <v>212</v>
      </c>
      <c r="F13" s="81"/>
      <c r="G13" s="82"/>
      <c r="H13" s="68" t="s">
        <v>139</v>
      </c>
      <c r="I13" s="24"/>
      <c r="J13" s="19" t="s">
        <v>277</v>
      </c>
      <c r="L13" s="6" t="s">
        <v>67</v>
      </c>
      <c r="M13" s="6">
        <f t="shared" si="0"/>
        <v>0</v>
      </c>
      <c r="N13" s="6">
        <f t="shared" si="1"/>
        <v>0</v>
      </c>
      <c r="O13" s="6">
        <f t="shared" si="2"/>
        <v>0</v>
      </c>
      <c r="P13" s="6">
        <f t="shared" si="3"/>
        <v>1</v>
      </c>
      <c r="Q13" s="18"/>
      <c r="R13" s="6"/>
      <c r="T13" s="6" t="s">
        <v>66</v>
      </c>
      <c r="U13" s="6">
        <f t="shared" si="4"/>
        <v>0</v>
      </c>
      <c r="V13" s="6">
        <f t="shared" si="5"/>
        <v>0</v>
      </c>
      <c r="W13" s="6">
        <f t="shared" si="6"/>
        <v>1</v>
      </c>
      <c r="X13" s="6">
        <f t="shared" si="7"/>
        <v>0</v>
      </c>
      <c r="Y13" s="73"/>
    </row>
    <row r="14" spans="1:25" ht="29" customHeight="1" x14ac:dyDescent="0.35">
      <c r="A14" s="6"/>
      <c r="B14" s="20"/>
      <c r="C14" s="143"/>
      <c r="D14" s="143"/>
      <c r="E14" s="68" t="s">
        <v>213</v>
      </c>
      <c r="F14" s="81"/>
      <c r="G14" s="82"/>
      <c r="H14" s="68" t="s">
        <v>139</v>
      </c>
      <c r="I14" s="24"/>
      <c r="J14" s="19" t="s">
        <v>278</v>
      </c>
      <c r="L14" s="6" t="s">
        <v>67</v>
      </c>
      <c r="M14" s="6">
        <f t="shared" si="0"/>
        <v>0</v>
      </c>
      <c r="N14" s="6">
        <f t="shared" si="1"/>
        <v>0</v>
      </c>
      <c r="O14" s="6">
        <f t="shared" si="2"/>
        <v>0</v>
      </c>
      <c r="P14" s="6">
        <f t="shared" si="3"/>
        <v>1</v>
      </c>
      <c r="Q14" s="18"/>
      <c r="R14" s="6"/>
      <c r="T14" s="6" t="s">
        <v>66</v>
      </c>
      <c r="U14" s="6">
        <f t="shared" si="4"/>
        <v>0</v>
      </c>
      <c r="V14" s="6">
        <f t="shared" si="5"/>
        <v>0</v>
      </c>
      <c r="W14" s="6">
        <f t="shared" si="6"/>
        <v>1</v>
      </c>
      <c r="X14" s="6">
        <f t="shared" si="7"/>
        <v>0</v>
      </c>
      <c r="Y14" s="73"/>
    </row>
    <row r="15" spans="1:25" ht="29" customHeight="1" x14ac:dyDescent="0.35">
      <c r="A15" s="6"/>
      <c r="B15" s="20"/>
      <c r="C15" s="143"/>
      <c r="D15" s="143"/>
      <c r="E15" s="68" t="s">
        <v>214</v>
      </c>
      <c r="F15" s="81"/>
      <c r="G15" s="82"/>
      <c r="H15" s="68" t="s">
        <v>139</v>
      </c>
      <c r="I15" s="24"/>
      <c r="J15" s="19" t="s">
        <v>279</v>
      </c>
      <c r="L15" s="6" t="s">
        <v>67</v>
      </c>
      <c r="M15" s="6">
        <f t="shared" ref="M15:M24" si="8">COUNTIFS(L15,"R")</f>
        <v>0</v>
      </c>
      <c r="N15" s="6">
        <f t="shared" ref="N15:N24" si="9">COUNTIFS(L15,"Y")</f>
        <v>0</v>
      </c>
      <c r="O15" s="6">
        <f t="shared" ref="O15:O24" si="10">COUNTIFS(L15,"G")</f>
        <v>0</v>
      </c>
      <c r="P15" s="6">
        <f t="shared" ref="P15:P24" si="11">COUNTIFS(L15,"B")</f>
        <v>1</v>
      </c>
      <c r="Q15" s="18"/>
      <c r="R15" s="6"/>
      <c r="T15" s="6" t="s">
        <v>66</v>
      </c>
      <c r="U15" s="6">
        <f t="shared" ref="U15:U24" si="12">COUNTIFS(T15,"R")</f>
        <v>0</v>
      </c>
      <c r="V15" s="6">
        <f t="shared" ref="V15:V24" si="13">COUNTIFS(T15,"Y")</f>
        <v>0</v>
      </c>
      <c r="W15" s="6">
        <f t="shared" ref="W15:W24" si="14">COUNTIFS(T15,"G")</f>
        <v>1</v>
      </c>
      <c r="X15" s="6">
        <f t="shared" ref="X15:X24" si="15">COUNTIFS(T15,"B")</f>
        <v>0</v>
      </c>
      <c r="Y15" s="73"/>
    </row>
    <row r="16" spans="1:25" ht="29" customHeight="1" x14ac:dyDescent="0.35">
      <c r="A16" s="6"/>
      <c r="B16" s="20"/>
      <c r="C16" s="143"/>
      <c r="D16" s="144"/>
      <c r="E16" s="68" t="s">
        <v>215</v>
      </c>
      <c r="F16" s="81"/>
      <c r="G16" s="82"/>
      <c r="H16" s="68" t="s">
        <v>139</v>
      </c>
      <c r="I16" s="24"/>
      <c r="J16" s="19" t="s">
        <v>280</v>
      </c>
      <c r="L16" s="6" t="s">
        <v>67</v>
      </c>
      <c r="M16" s="6">
        <f t="shared" si="8"/>
        <v>0</v>
      </c>
      <c r="N16" s="6">
        <f t="shared" si="9"/>
        <v>0</v>
      </c>
      <c r="O16" s="6">
        <f t="shared" si="10"/>
        <v>0</v>
      </c>
      <c r="P16" s="6">
        <f t="shared" si="11"/>
        <v>1</v>
      </c>
      <c r="Q16" s="18"/>
      <c r="R16" s="6"/>
      <c r="T16" s="6" t="s">
        <v>66</v>
      </c>
      <c r="U16" s="6">
        <f t="shared" si="12"/>
        <v>0</v>
      </c>
      <c r="V16" s="6">
        <f t="shared" si="13"/>
        <v>0</v>
      </c>
      <c r="W16" s="6">
        <f t="shared" si="14"/>
        <v>1</v>
      </c>
      <c r="X16" s="6">
        <f t="shared" si="15"/>
        <v>0</v>
      </c>
      <c r="Y16" s="73"/>
    </row>
    <row r="17" spans="1:25" ht="29" customHeight="1" x14ac:dyDescent="0.35">
      <c r="A17" s="6"/>
      <c r="B17" s="20"/>
      <c r="C17" s="143"/>
      <c r="D17" s="142" t="s">
        <v>216</v>
      </c>
      <c r="E17" s="68" t="s">
        <v>217</v>
      </c>
      <c r="F17" s="81"/>
      <c r="G17" s="82"/>
      <c r="H17" s="68" t="s">
        <v>134</v>
      </c>
      <c r="I17" s="24"/>
      <c r="J17" s="19" t="s">
        <v>273</v>
      </c>
      <c r="L17" s="6" t="s">
        <v>67</v>
      </c>
      <c r="M17" s="6">
        <f t="shared" si="8"/>
        <v>0</v>
      </c>
      <c r="N17" s="6">
        <f t="shared" si="9"/>
        <v>0</v>
      </c>
      <c r="O17" s="6">
        <f t="shared" si="10"/>
        <v>0</v>
      </c>
      <c r="P17" s="6">
        <f t="shared" si="11"/>
        <v>1</v>
      </c>
      <c r="Q17" s="18"/>
      <c r="R17" s="6"/>
      <c r="T17" s="6" t="s">
        <v>66</v>
      </c>
      <c r="U17" s="6">
        <f t="shared" si="12"/>
        <v>0</v>
      </c>
      <c r="V17" s="6">
        <f t="shared" si="13"/>
        <v>0</v>
      </c>
      <c r="W17" s="6">
        <f t="shared" si="14"/>
        <v>1</v>
      </c>
      <c r="X17" s="6">
        <f t="shared" si="15"/>
        <v>0</v>
      </c>
      <c r="Y17" s="73"/>
    </row>
    <row r="18" spans="1:25" ht="29" customHeight="1" x14ac:dyDescent="0.35">
      <c r="A18" s="6"/>
      <c r="B18" s="20"/>
      <c r="C18" s="143"/>
      <c r="D18" s="143"/>
      <c r="E18" s="68" t="s">
        <v>218</v>
      </c>
      <c r="F18" s="81"/>
      <c r="G18" s="82"/>
      <c r="H18" s="68" t="s">
        <v>206</v>
      </c>
      <c r="I18" s="24"/>
      <c r="J18" s="19" t="s">
        <v>273</v>
      </c>
      <c r="L18" s="6" t="s">
        <v>67</v>
      </c>
      <c r="M18" s="6">
        <f t="shared" si="8"/>
        <v>0</v>
      </c>
      <c r="N18" s="6">
        <f t="shared" si="9"/>
        <v>0</v>
      </c>
      <c r="O18" s="6">
        <f t="shared" si="10"/>
        <v>0</v>
      </c>
      <c r="P18" s="6">
        <f t="shared" si="11"/>
        <v>1</v>
      </c>
      <c r="Q18" s="18"/>
      <c r="R18" s="6"/>
      <c r="T18" s="6" t="s">
        <v>66</v>
      </c>
      <c r="U18" s="6">
        <f t="shared" si="12"/>
        <v>0</v>
      </c>
      <c r="V18" s="6">
        <f t="shared" si="13"/>
        <v>0</v>
      </c>
      <c r="W18" s="6">
        <f t="shared" si="14"/>
        <v>1</v>
      </c>
      <c r="X18" s="6">
        <f t="shared" si="15"/>
        <v>0</v>
      </c>
      <c r="Y18" s="73"/>
    </row>
    <row r="19" spans="1:25" ht="29" customHeight="1" x14ac:dyDescent="0.35">
      <c r="A19" s="6"/>
      <c r="B19" s="20"/>
      <c r="C19" s="143"/>
      <c r="D19" s="144"/>
      <c r="E19" s="68" t="s">
        <v>219</v>
      </c>
      <c r="F19" s="81"/>
      <c r="G19" s="82"/>
      <c r="H19" s="68" t="s">
        <v>134</v>
      </c>
      <c r="I19" s="24"/>
      <c r="J19" s="19" t="s">
        <v>273</v>
      </c>
      <c r="L19" s="6" t="s">
        <v>67</v>
      </c>
      <c r="M19" s="6">
        <f t="shared" si="8"/>
        <v>0</v>
      </c>
      <c r="N19" s="6">
        <f t="shared" si="9"/>
        <v>0</v>
      </c>
      <c r="O19" s="6">
        <f t="shared" si="10"/>
        <v>0</v>
      </c>
      <c r="P19" s="6">
        <f t="shared" si="11"/>
        <v>1</v>
      </c>
      <c r="Q19" s="18"/>
      <c r="R19" s="6"/>
      <c r="T19" s="6" t="s">
        <v>66</v>
      </c>
      <c r="U19" s="6">
        <f t="shared" si="12"/>
        <v>0</v>
      </c>
      <c r="V19" s="6">
        <f t="shared" si="13"/>
        <v>0</v>
      </c>
      <c r="W19" s="6">
        <f t="shared" si="14"/>
        <v>1</v>
      </c>
      <c r="X19" s="6">
        <f t="shared" si="15"/>
        <v>0</v>
      </c>
      <c r="Y19" s="73"/>
    </row>
    <row r="20" spans="1:25" ht="29" customHeight="1" x14ac:dyDescent="0.35">
      <c r="A20" s="6"/>
      <c r="B20" s="20"/>
      <c r="C20" s="143"/>
      <c r="D20" s="142" t="s">
        <v>220</v>
      </c>
      <c r="E20" s="68" t="s">
        <v>221</v>
      </c>
      <c r="F20" s="81"/>
      <c r="G20" s="82"/>
      <c r="H20" s="68" t="s">
        <v>220</v>
      </c>
      <c r="I20" s="24"/>
      <c r="J20" s="19" t="s">
        <v>273</v>
      </c>
      <c r="L20" s="6" t="s">
        <v>67</v>
      </c>
      <c r="M20" s="6">
        <f t="shared" si="8"/>
        <v>0</v>
      </c>
      <c r="N20" s="6">
        <f t="shared" si="9"/>
        <v>0</v>
      </c>
      <c r="O20" s="6">
        <f t="shared" si="10"/>
        <v>0</v>
      </c>
      <c r="P20" s="6">
        <f t="shared" si="11"/>
        <v>1</v>
      </c>
      <c r="Q20" s="18"/>
      <c r="R20" s="6"/>
      <c r="T20" s="6" t="s">
        <v>66</v>
      </c>
      <c r="U20" s="6">
        <f t="shared" si="12"/>
        <v>0</v>
      </c>
      <c r="V20" s="6">
        <f t="shared" si="13"/>
        <v>0</v>
      </c>
      <c r="W20" s="6">
        <f t="shared" si="14"/>
        <v>1</v>
      </c>
      <c r="X20" s="6">
        <f t="shared" si="15"/>
        <v>0</v>
      </c>
      <c r="Y20" s="73"/>
    </row>
    <row r="21" spans="1:25" ht="29" customHeight="1" x14ac:dyDescent="0.35">
      <c r="A21" s="6"/>
      <c r="B21" s="20"/>
      <c r="C21" s="143"/>
      <c r="D21" s="143"/>
      <c r="E21" s="68" t="s">
        <v>222</v>
      </c>
      <c r="F21" s="81"/>
      <c r="G21" s="82"/>
      <c r="H21" s="68" t="s">
        <v>206</v>
      </c>
      <c r="I21" s="24"/>
      <c r="J21" s="19" t="s">
        <v>273</v>
      </c>
      <c r="L21" s="6" t="s">
        <v>67</v>
      </c>
      <c r="M21" s="6">
        <f t="shared" si="8"/>
        <v>0</v>
      </c>
      <c r="N21" s="6">
        <f t="shared" si="9"/>
        <v>0</v>
      </c>
      <c r="O21" s="6">
        <f t="shared" si="10"/>
        <v>0</v>
      </c>
      <c r="P21" s="6">
        <f t="shared" si="11"/>
        <v>1</v>
      </c>
      <c r="Q21" s="18"/>
      <c r="R21" s="6"/>
      <c r="T21" s="6" t="s">
        <v>66</v>
      </c>
      <c r="U21" s="6">
        <f t="shared" si="12"/>
        <v>0</v>
      </c>
      <c r="V21" s="6">
        <f t="shared" si="13"/>
        <v>0</v>
      </c>
      <c r="W21" s="6">
        <f t="shared" si="14"/>
        <v>1</v>
      </c>
      <c r="X21" s="6">
        <f t="shared" si="15"/>
        <v>0</v>
      </c>
      <c r="Y21" s="73"/>
    </row>
    <row r="22" spans="1:25" ht="29" customHeight="1" x14ac:dyDescent="0.35">
      <c r="A22" s="6"/>
      <c r="B22" s="20"/>
      <c r="C22" s="143"/>
      <c r="D22" s="143"/>
      <c r="E22" s="68" t="s">
        <v>223</v>
      </c>
      <c r="F22" s="81"/>
      <c r="G22" s="82"/>
      <c r="H22" s="68" t="s">
        <v>134</v>
      </c>
      <c r="I22" s="24"/>
      <c r="J22" s="19" t="s">
        <v>273</v>
      </c>
      <c r="L22" s="6" t="s">
        <v>67</v>
      </c>
      <c r="M22" s="6">
        <f t="shared" si="8"/>
        <v>0</v>
      </c>
      <c r="N22" s="6">
        <f t="shared" si="9"/>
        <v>0</v>
      </c>
      <c r="O22" s="6">
        <f t="shared" si="10"/>
        <v>0</v>
      </c>
      <c r="P22" s="6">
        <f t="shared" si="11"/>
        <v>1</v>
      </c>
      <c r="Q22" s="18"/>
      <c r="R22" s="6"/>
      <c r="T22" s="6" t="s">
        <v>66</v>
      </c>
      <c r="U22" s="6">
        <f t="shared" si="12"/>
        <v>0</v>
      </c>
      <c r="V22" s="6">
        <f t="shared" si="13"/>
        <v>0</v>
      </c>
      <c r="W22" s="6">
        <f t="shared" si="14"/>
        <v>1</v>
      </c>
      <c r="X22" s="6">
        <f t="shared" si="15"/>
        <v>0</v>
      </c>
      <c r="Y22" s="73"/>
    </row>
    <row r="23" spans="1:25" ht="29" customHeight="1" x14ac:dyDescent="0.35">
      <c r="A23" s="6"/>
      <c r="B23" s="20"/>
      <c r="C23" s="143"/>
      <c r="D23" s="144"/>
      <c r="E23" s="68" t="s">
        <v>224</v>
      </c>
      <c r="F23" s="81"/>
      <c r="G23" s="82"/>
      <c r="H23" s="68" t="s">
        <v>220</v>
      </c>
      <c r="I23" s="24"/>
      <c r="J23" s="19" t="s">
        <v>281</v>
      </c>
      <c r="L23" s="6" t="s">
        <v>67</v>
      </c>
      <c r="M23" s="6">
        <f t="shared" si="8"/>
        <v>0</v>
      </c>
      <c r="N23" s="6">
        <f t="shared" si="9"/>
        <v>0</v>
      </c>
      <c r="O23" s="6">
        <f t="shared" si="10"/>
        <v>0</v>
      </c>
      <c r="P23" s="6">
        <f t="shared" si="11"/>
        <v>1</v>
      </c>
      <c r="Q23" s="18"/>
      <c r="R23" s="6"/>
      <c r="T23" s="6" t="s">
        <v>66</v>
      </c>
      <c r="U23" s="6">
        <f t="shared" si="12"/>
        <v>0</v>
      </c>
      <c r="V23" s="6">
        <f t="shared" si="13"/>
        <v>0</v>
      </c>
      <c r="W23" s="6">
        <f t="shared" si="14"/>
        <v>1</v>
      </c>
      <c r="X23" s="6">
        <f t="shared" si="15"/>
        <v>0</v>
      </c>
      <c r="Y23" s="73"/>
    </row>
    <row r="24" spans="1:25" ht="29" customHeight="1" x14ac:dyDescent="0.35">
      <c r="A24" s="6"/>
      <c r="B24" s="20"/>
      <c r="C24" s="143"/>
      <c r="D24" s="68" t="s">
        <v>225</v>
      </c>
      <c r="E24" s="81"/>
      <c r="F24" s="81"/>
      <c r="G24" s="82"/>
      <c r="H24" s="68" t="s">
        <v>206</v>
      </c>
      <c r="I24" s="24"/>
      <c r="J24" s="19" t="s">
        <v>273</v>
      </c>
      <c r="L24" s="6" t="s">
        <v>67</v>
      </c>
      <c r="M24" s="6">
        <f t="shared" si="8"/>
        <v>0</v>
      </c>
      <c r="N24" s="6">
        <f t="shared" si="9"/>
        <v>0</v>
      </c>
      <c r="O24" s="6">
        <f t="shared" si="10"/>
        <v>0</v>
      </c>
      <c r="P24" s="6">
        <f t="shared" si="11"/>
        <v>1</v>
      </c>
      <c r="Q24" s="18"/>
      <c r="R24" s="6"/>
      <c r="T24" s="6" t="s">
        <v>66</v>
      </c>
      <c r="U24" s="6">
        <f t="shared" si="12"/>
        <v>0</v>
      </c>
      <c r="V24" s="6">
        <f t="shared" si="13"/>
        <v>0</v>
      </c>
      <c r="W24" s="6">
        <f t="shared" si="14"/>
        <v>1</v>
      </c>
      <c r="X24" s="6">
        <f t="shared" si="15"/>
        <v>0</v>
      </c>
      <c r="Y24" s="73"/>
    </row>
    <row r="25" spans="1:25" ht="29" customHeight="1" x14ac:dyDescent="0.35">
      <c r="A25" s="6"/>
      <c r="B25" s="20"/>
      <c r="C25" s="143"/>
      <c r="D25" s="68" t="s">
        <v>226</v>
      </c>
      <c r="E25" s="81"/>
      <c r="F25" s="81"/>
      <c r="G25" s="82"/>
      <c r="H25" s="68" t="s">
        <v>206</v>
      </c>
      <c r="I25" s="24"/>
      <c r="J25" s="19" t="s">
        <v>273</v>
      </c>
      <c r="L25" s="6" t="s">
        <v>67</v>
      </c>
      <c r="M25" s="6">
        <f>COUNTIFS(L25,"R")</f>
        <v>0</v>
      </c>
      <c r="N25" s="6">
        <f>COUNTIFS(L25,"Y")</f>
        <v>0</v>
      </c>
      <c r="O25" s="6">
        <f>COUNTIFS(L25,"G")</f>
        <v>0</v>
      </c>
      <c r="P25" s="6">
        <f>COUNTIFS(L25,"B")</f>
        <v>1</v>
      </c>
      <c r="Q25" s="18"/>
      <c r="R25" s="6"/>
      <c r="T25" s="6" t="s">
        <v>66</v>
      </c>
      <c r="U25" s="6">
        <f>COUNTIFS(T25,"R")</f>
        <v>0</v>
      </c>
      <c r="V25" s="6">
        <f>COUNTIFS(T25,"Y")</f>
        <v>0</v>
      </c>
      <c r="W25" s="6">
        <f>COUNTIFS(T25,"G")</f>
        <v>1</v>
      </c>
      <c r="X25" s="6">
        <f>COUNTIFS(T25,"B")</f>
        <v>0</v>
      </c>
      <c r="Y25" s="73"/>
    </row>
    <row r="26" spans="1:25" ht="29" customHeight="1" x14ac:dyDescent="0.35">
      <c r="A26" s="6"/>
      <c r="B26" s="20"/>
      <c r="C26" s="143"/>
      <c r="D26" s="68" t="s">
        <v>227</v>
      </c>
      <c r="E26" s="68" t="s">
        <v>228</v>
      </c>
      <c r="F26" s="81"/>
      <c r="G26" s="82"/>
      <c r="H26" s="68" t="s">
        <v>134</v>
      </c>
      <c r="I26" s="24"/>
      <c r="J26" s="19" t="s">
        <v>273</v>
      </c>
      <c r="L26" s="6" t="s">
        <v>67</v>
      </c>
      <c r="M26" s="6">
        <f>COUNTIFS(L26,"R")</f>
        <v>0</v>
      </c>
      <c r="N26" s="6">
        <f>COUNTIFS(L26,"Y")</f>
        <v>0</v>
      </c>
      <c r="O26" s="6">
        <f>COUNTIFS(L26,"G")</f>
        <v>0</v>
      </c>
      <c r="P26" s="6">
        <f>COUNTIFS(L26,"B")</f>
        <v>1</v>
      </c>
      <c r="Q26" s="18"/>
      <c r="R26" s="6"/>
      <c r="T26" s="6" t="s">
        <v>66</v>
      </c>
      <c r="U26" s="6">
        <f>COUNTIFS(T26,"R")</f>
        <v>0</v>
      </c>
      <c r="V26" s="6">
        <f>COUNTIFS(T26,"Y")</f>
        <v>0</v>
      </c>
      <c r="W26" s="6">
        <f>COUNTIFS(T26,"G")</f>
        <v>1</v>
      </c>
      <c r="X26" s="6">
        <f>COUNTIFS(T26,"B")</f>
        <v>0</v>
      </c>
      <c r="Y26" s="73"/>
    </row>
    <row r="27" spans="1:25" ht="29" customHeight="1" x14ac:dyDescent="0.35">
      <c r="A27" s="6"/>
      <c r="B27" s="20"/>
      <c r="C27" s="144"/>
      <c r="D27" s="65"/>
      <c r="E27" s="68" t="s">
        <v>229</v>
      </c>
      <c r="F27" s="81"/>
      <c r="G27" s="82"/>
      <c r="H27" s="68" t="s">
        <v>134</v>
      </c>
      <c r="I27" s="24"/>
      <c r="J27" s="19" t="s">
        <v>273</v>
      </c>
      <c r="L27" s="6" t="s">
        <v>67</v>
      </c>
      <c r="M27" s="6">
        <f>COUNTIFS(L27,"R")</f>
        <v>0</v>
      </c>
      <c r="N27" s="6">
        <f>COUNTIFS(L27,"Y")</f>
        <v>0</v>
      </c>
      <c r="O27" s="6">
        <f>COUNTIFS(L27,"G")</f>
        <v>0</v>
      </c>
      <c r="P27" s="6">
        <f>COUNTIFS(L27,"B")</f>
        <v>1</v>
      </c>
      <c r="Q27" s="18"/>
      <c r="R27" s="6"/>
      <c r="T27" s="6" t="s">
        <v>66</v>
      </c>
      <c r="U27" s="6">
        <f>COUNTIFS(T27,"R")</f>
        <v>0</v>
      </c>
      <c r="V27" s="6">
        <f>COUNTIFS(T27,"Y")</f>
        <v>0</v>
      </c>
      <c r="W27" s="6">
        <f>COUNTIFS(T27,"G")</f>
        <v>1</v>
      </c>
      <c r="X27" s="6">
        <f>COUNTIFS(T27,"B")</f>
        <v>0</v>
      </c>
      <c r="Y27" s="73"/>
    </row>
    <row r="28" spans="1:25" x14ac:dyDescent="0.35">
      <c r="Y28" s="3"/>
    </row>
    <row r="30" spans="1:25" x14ac:dyDescent="0.35">
      <c r="F30" s="1"/>
      <c r="J30" s="71"/>
    </row>
  </sheetData>
  <autoFilter ref="A2:J25" xr:uid="{00000000-0009-0000-0000-00000A000000}"/>
  <mergeCells count="9">
    <mergeCell ref="L1:R1"/>
    <mergeCell ref="T1:Y1"/>
    <mergeCell ref="A1:J1"/>
    <mergeCell ref="C5:C27"/>
    <mergeCell ref="D7:D8"/>
    <mergeCell ref="D9:D10"/>
    <mergeCell ref="D11:D16"/>
    <mergeCell ref="D17:D19"/>
    <mergeCell ref="D20:D23"/>
  </mergeCells>
  <conditionalFormatting sqref="L4:L27 T4:T27">
    <cfRule type="cellIs" dxfId="3" priority="21" operator="equal">
      <formula>"B"</formula>
    </cfRule>
    <cfRule type="cellIs" dxfId="2" priority="22" operator="equal">
      <formula>"G"</formula>
    </cfRule>
    <cfRule type="cellIs" dxfId="1" priority="23" operator="equal">
      <formula>"Y"</formula>
    </cfRule>
    <cfRule type="cellIs" dxfId="0" priority="24" operator="equal">
      <formula>"R"</formula>
    </cfRule>
  </conditionalFormatting>
  <dataValidations count="1">
    <dataValidation type="list" allowBlank="1" showInputMessage="1" showErrorMessage="1" sqref="T4:T27 L4:L27" xr:uid="{00000000-0002-0000-0A00-000000000000}">
      <formula1>"R,Y,B,G"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6C587ECEBD74784D85AACD614F545" ma:contentTypeVersion="17" ma:contentTypeDescription="Create a new document." ma:contentTypeScope="" ma:versionID="d0adc75c26db6faefcb3c3c022963fb8">
  <xsd:schema xmlns:xsd="http://www.w3.org/2001/XMLSchema" xmlns:xs="http://www.w3.org/2001/XMLSchema" xmlns:p="http://schemas.microsoft.com/office/2006/metadata/properties" xmlns:ns3="8f57e863-9fa2-4486-acf4-534e1d754035" xmlns:ns4="dd5ca6ba-fb34-4483-9531-363c60c15960" targetNamespace="http://schemas.microsoft.com/office/2006/metadata/properties" ma:root="true" ma:fieldsID="8ff1001356a498a3818d1a58d439e135" ns3:_="" ns4:_="">
    <xsd:import namespace="8f57e863-9fa2-4486-acf4-534e1d754035"/>
    <xsd:import namespace="dd5ca6ba-fb34-4483-9531-363c60c1596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57e863-9fa2-4486-acf4-534e1d7540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ca6ba-fb34-4483-9531-363c60c15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5ca6ba-fb34-4483-9531-363c60c15960" xsi:nil="true"/>
  </documentManagement>
</p:properties>
</file>

<file path=customXml/itemProps1.xml><?xml version="1.0" encoding="utf-8"?>
<ds:datastoreItem xmlns:ds="http://schemas.openxmlformats.org/officeDocument/2006/customXml" ds:itemID="{6A5475F7-6A9A-4F4E-9869-3AAE076D8E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57e863-9fa2-4486-acf4-534e1d754035"/>
    <ds:schemaRef ds:uri="dd5ca6ba-fb34-4483-9531-363c60c159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974450-CF6C-460E-817E-CFD4169A5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A44D4E-15A2-4810-8655-55AEAE2AD177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dd5ca6ba-fb34-4483-9531-363c60c15960"/>
    <ds:schemaRef ds:uri="http://purl.org/dc/terms/"/>
    <ds:schemaRef ds:uri="http://schemas.microsoft.com/office/2006/documentManagement/types"/>
    <ds:schemaRef ds:uri="8f57e863-9fa2-4486-acf4-534e1d75403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Veh PALs</vt:lpstr>
      <vt:lpstr>Panel chart summary</vt:lpstr>
      <vt:lpstr>Revision_History</vt:lpstr>
      <vt:lpstr>INFO</vt:lpstr>
      <vt:lpstr>P &amp; D</vt:lpstr>
      <vt:lpstr>D&amp;R</vt:lpstr>
      <vt:lpstr>Thermal Aerodynamics System Eng</vt:lpstr>
      <vt:lpstr>Utility &amp; Usage</vt:lpstr>
      <vt:lpstr>Safety</vt:lpstr>
      <vt:lpstr>Environment Mgmt</vt:lpstr>
      <vt:lpstr>HMI</vt:lpstr>
      <vt:lpstr>'Panel chart summary'!Print_Area</vt:lpstr>
    </vt:vector>
  </TitlesOfParts>
  <Manager/>
  <Company>Tata Motors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Pratik Parale</dc:creator>
  <cp:keywords/>
  <dc:description/>
  <cp:lastModifiedBy>PRATIK PARALE [ TMCV, Power System Engineering, Pune ]</cp:lastModifiedBy>
  <cp:revision/>
  <dcterms:created xsi:type="dcterms:W3CDTF">2015-03-01T13:52:55Z</dcterms:created>
  <dcterms:modified xsi:type="dcterms:W3CDTF">2026-08-10T08:59:50Z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0x01010007A6C587ECEBD74784D85AACD614F545</vt:lpwstr>
  </property>
</Properties>
</file>